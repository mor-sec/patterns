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Problem" sheetId="2" state="visible" r:id="rId4"/>
    <sheet name="Gates" sheetId="3" state="visible" r:id="rId5"/>
    <sheet name="Weights" sheetId="4" state="visible" r:id="rId6"/>
    <sheet name="Scoring" sheetId="5" state="visible" r:id="rId7"/>
    <sheet name="Validation" sheetId="6" state="visible" r:id="rId8"/>
    <sheet name="PIR" sheetId="7" state="visible" r:id="rId9"/>
    <sheet name="Pattern Rating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<sst xmlns="http://schemas.openxmlformats.org/spreadsheetml/2006/main" count="538" uniqueCount="367">
  <si>
    <t xml:space="preserve">AI Pattern Scoring Workbook</t>
  </si>
  <si>
    <t xml:space="preserve">WORKED EXAMPLE (illustrative figures). For a blank copy use ai-pattern-scoring.xlsx</t>
  </si>
  <si>
    <t xml:space="preserve">How to use</t>
  </si>
  <si>
    <t xml:space="preserve">1. Problem</t>
  </si>
  <si>
    <t xml:space="preserve">Rate the problem first: consequence (E), regulatory (R), budget, service level, team capacity, data readiness. Choose a weight profile and up to three candidate patterns.</t>
  </si>
  <si>
    <t xml:space="preserve">2. Gates</t>
  </si>
  <si>
    <t xml:space="preserve">Mark each gate PASS / FAIL / PENDING per candidate. Hints compare the pattern's published ratings with the problem profile; they suggest, you decide. Any FAIL eliminates the candidate.</t>
  </si>
  <si>
    <t xml:space="preserve">3. Weights</t>
  </si>
  <si>
    <t xml:space="preserve">Weights come from the selected profile. For 'Custom', fill the Custom column (must total 100) and record the reason.</t>
  </si>
  <si>
    <t xml:space="preserve">4. Scoring</t>
  </si>
  <si>
    <t xml:space="preserve">Score each criterion 1–5 using the anchors, with evidence. The Results block computes the weighted score (20–100), applies the task-fit cap and low-score rule, and ranks eligible candidates.</t>
  </si>
  <si>
    <t xml:space="preserve">5. Validation</t>
  </si>
  <si>
    <t xml:space="preserve">Bake-off of the top two: enter targets and results. A candidate under the task-fit cap may be selected only if it meets the quality target here.</t>
  </si>
  <si>
    <t xml:space="preserve">6. PIR</t>
  </si>
  <si>
    <t xml:space="preserve">Post-implementation review 3–6 months after go-live: estimates vs actuals. Material variances feed back into the pattern ratings.</t>
  </si>
  <si>
    <t xml:space="preserve">Legend</t>
  </si>
  <si>
    <t xml:space="preserve">Yellow fill, blue text</t>
  </si>
  <si>
    <t xml:space="preserve">Input cells: edit these only.</t>
  </si>
  <si>
    <t xml:space="preserve">Black text</t>
  </si>
  <si>
    <t xml:space="preserve">Formulas: do not overwrite.</t>
  </si>
  <si>
    <t xml:space="preserve">Green text</t>
  </si>
  <si>
    <t xml:space="preserve">Links pulled from another sheet.</t>
  </si>
  <si>
    <t xml:space="preserve">Rules applied</t>
  </si>
  <si>
    <t xml:space="preserve">Gates</t>
  </si>
  <si>
    <t xml:space="preserve">Never averaged into the score. A FAIL eliminates; PENDING keeps the verdict 'Gates incomplete'.</t>
  </si>
  <si>
    <t xml:space="preserve">Bands</t>
  </si>
  <si>
    <t xml:space="preserve">≥ 75 strong fit · 60–74 acceptable with mitigations recorded · &lt; 60 poor fit.</t>
  </si>
  <si>
    <t xml:space="preserve">Task-fit cap</t>
  </si>
  <si>
    <t xml:space="preserve">W1 ≤ 2 → cannot be selected on weighted score alone; bake-off must meet the quality target.</t>
  </si>
  <si>
    <t xml:space="preserve">Low-score rule</t>
  </si>
  <si>
    <t xml:space="preserve">Any score of 1 on a criterion weighted ≥ 10 needs a mitigation or explicit acceptance in the selection record.</t>
  </si>
  <si>
    <t xml:space="preserve">Close calls</t>
  </si>
  <si>
    <t xml:space="preserve">Top two eligible scores within 5 points are a tie: decide on bake-off evidence and prefer the lower-complexity pattern.</t>
  </si>
  <si>
    <t xml:space="preserve">Stage 0: Problem profile</t>
  </si>
  <si>
    <t xml:space="preserve">Rate the problem before the patterns. Yellow cells are inputs.</t>
  </si>
  <si>
    <t xml:space="preserve">Attribute</t>
  </si>
  <si>
    <t xml:space="preserve">Value</t>
  </si>
  <si>
    <t xml:space="preserve">Notes / evidence</t>
  </si>
  <si>
    <t xml:space="preserve">Solution / owner</t>
  </si>
  <si>
    <t xml:space="preserve">Procurement supplier-risk assistant / Head of Procurement Ops</t>
  </si>
  <si>
    <t xml:space="preserve">Date / version</t>
  </si>
  <si>
    <t xml:space="preserve">Worked example (illustrative)</t>
  </si>
  <si>
    <t xml:space="preserve">Scored by</t>
  </si>
  <si>
    <t xml:space="preserve">Solution architect, security architect, procurement lead</t>
  </si>
  <si>
    <t xml:space="preserve">Solution architect + security architect; business owner for task fit and value</t>
  </si>
  <si>
    <t xml:space="preserve">Weight profile</t>
  </si>
  <si>
    <t xml:space="preserve">Default</t>
  </si>
  <si>
    <t xml:space="preserve">Default / Regulated / Customer scale / Prototype / Custom</t>
  </si>
  <si>
    <t xml:space="preserve">Consequence of error</t>
  </si>
  <si>
    <t xml:space="preserve">E3</t>
  </si>
  <si>
    <t xml:space="preserve">E1 low · E2 moderate · E3 high · E4 critical (§0.6.1)</t>
  </si>
  <si>
    <t xml:space="preserve">Regulatory profile</t>
  </si>
  <si>
    <t xml:space="preserve">R1</t>
  </si>
  <si>
    <t xml:space="preserve">R0 minimal · R1 transparency · R2 high-risk · R3 prohibited (§0.6.7)</t>
  </si>
  <si>
    <t xml:space="preserve">Data classification / residency</t>
  </si>
  <si>
    <t xml:space="preserve">Confidential; EU residency</t>
  </si>
  <si>
    <t xml:space="preserve">Budget band</t>
  </si>
  <si>
    <t xml:space="preserve">B2</t>
  </si>
  <si>
    <t xml:space="preserve">B1 &lt;$1k · B2 $1–10k · B3 $10–50k · B4 &gt;$50k per month</t>
  </si>
  <si>
    <t xml:space="preserve">Expected volume (today / at 10×)</t>
  </si>
  <si>
    <t xml:space="preserve">~3k questions/month; 30k at 10×</t>
  </si>
  <si>
    <t xml:space="preserve">Service level tier</t>
  </si>
  <si>
    <t xml:space="preserve">SL2</t>
  </si>
  <si>
    <t xml:space="preserve">SL0–SL3 (§0.3)</t>
  </si>
  <si>
    <t xml:space="preserve">Team complexity capacity</t>
  </si>
  <si>
    <t xml:space="preserve">C2</t>
  </si>
  <si>
    <t xml:space="preserve">C1–C4 (§0.2)</t>
  </si>
  <si>
    <t xml:space="preserve">Data prerequisites (Ready / Partial / Absent each)</t>
  </si>
  <si>
    <t xml:space="preserve">Supplier master data: Ready (Snowflake). Contracts: Partial. Ontology owner: Partial (steward funded)</t>
  </si>
  <si>
    <t xml:space="preserve">Reviewer capacity (hours/week)</t>
  </si>
  <si>
    <t xml:space="preserve">12</t>
  </si>
  <si>
    <t xml:space="preserve">Value baseline exists?</t>
  </si>
  <si>
    <t xml:space="preserve">Sampled</t>
  </si>
  <si>
    <t xml:space="preserve">Yes / Sampled / No</t>
  </si>
  <si>
    <t xml:space="preserve">Task shape</t>
  </si>
  <si>
    <t xml:space="preserve">Multi-hop</t>
  </si>
  <si>
    <t xml:space="preserve">Single-shot / Document / Multi-hop / Metric / Process / Open-ended / Prediction</t>
  </si>
  <si>
    <t xml:space="preserve">Candidate patterns</t>
  </si>
  <si>
    <t xml:space="preserve">Pattern (choose from list)</t>
  </si>
  <si>
    <t xml:space="preserve">Why it is a candidate</t>
  </si>
  <si>
    <t xml:space="preserve">Candidate A</t>
  </si>
  <si>
    <t xml:space="preserve">P04 Managed RAG (Bedrock Knowledge Bases)</t>
  </si>
  <si>
    <t xml:space="preserve">Lightest plausible pattern</t>
  </si>
  <si>
    <t xml:space="preserve">Candidate B</t>
  </si>
  <si>
    <t xml:space="preserve">P06 Knowledge graph RAG with Neo4j</t>
  </si>
  <si>
    <t xml:space="preserve">Multi-hop questions over supplier/product/customer relationships</t>
  </si>
  <si>
    <t xml:space="preserve">Candidate C</t>
  </si>
  <si>
    <t xml:space="preserve">P08 Tool-using agent (bounded autonomy)</t>
  </si>
  <si>
    <t xml:space="preserve">Conversational exploration across sources</t>
  </si>
  <si>
    <t xml:space="preserve">Stage 1: Gates (pass / fail)</t>
  </si>
  <si>
    <t xml:space="preserve">A FAIL eliminates the candidate. Hints are suggestions from the published ratings; the reviewer decides.</t>
  </si>
  <si>
    <t xml:space="preserve">Gate</t>
  </si>
  <si>
    <t xml:space="preserve">Name</t>
  </si>
  <si>
    <t xml:space="preserve">Pass when…</t>
  </si>
  <si>
    <t xml:space="preserve">Result</t>
  </si>
  <si>
    <t xml:space="preserve">Hint</t>
  </si>
  <si>
    <t xml:space="preserve">Evidence</t>
  </si>
  <si>
    <t xml:space="preserve">G1</t>
  </si>
  <si>
    <t xml:space="preserve">Classification and residency</t>
  </si>
  <si>
    <t xml:space="preserve">Model access (incl. cross-region inference Regions), stores and platforms satisfy classification and residency</t>
  </si>
  <si>
    <t xml:space="preserve">PASS</t>
  </si>
  <si>
    <t xml:space="preserve">G2</t>
  </si>
  <si>
    <t xml:space="preserve">Service level feasibility</t>
  </si>
  <si>
    <t xml:space="preserve">Composite availability of the serial path meets the tier; degraded mode exists for SL2+</t>
  </si>
  <si>
    <t xml:space="preserve">G3</t>
  </si>
  <si>
    <t xml:space="preserve">Pattern's max E-level ≥ problem's E-level, with the stated controls in the design</t>
  </si>
  <si>
    <t xml:space="preserve">G4</t>
  </si>
  <si>
    <t xml:space="preserve">Pattern supports the problem's R-level; R3 fails all</t>
  </si>
  <si>
    <t xml:space="preserve">G5</t>
  </si>
  <si>
    <t xml:space="preserve">Fixed floor</t>
  </si>
  <si>
    <t xml:space="preserve">Fixed floor at the required service level fits the budget band</t>
  </si>
  <si>
    <t xml:space="preserve">G6</t>
  </si>
  <si>
    <t xml:space="preserve">Data prerequisites</t>
  </si>
  <si>
    <t xml:space="preserve">No prerequisite Absent; every Partial has an owner and a funded plan</t>
  </si>
  <si>
    <t xml:space="preserve">G7</t>
  </si>
  <si>
    <t xml:space="preserve">Operability</t>
  </si>
  <si>
    <t xml:space="preserve">Team can build and run the complexity level (or funded support), incl. on-call for SL2+</t>
  </si>
  <si>
    <t xml:space="preserve">C3 vs C2 team: six months of Neo4j specialist support funded</t>
  </si>
  <si>
    <t xml:space="preserve">FAIL</t>
  </si>
  <si>
    <t xml:space="preserve">No agent evaluation capability; no on-call for C3–C4. Revisit in phase 2</t>
  </si>
  <si>
    <t xml:space="preserve">Gate status</t>
  </si>
  <si>
    <t xml:space="preserve">PASS marked against a LIKELY FAIL / FAIL hint</t>
  </si>
  <si>
    <t xml:space="preserve">Weight profiles</t>
  </si>
  <si>
    <t xml:space="preserve">Selected profile is set on the Problem sheet. Only the Custom column is editable.</t>
  </si>
  <si>
    <t xml:space="preserve">#</t>
  </si>
  <si>
    <t xml:space="preserve">Criterion</t>
  </si>
  <si>
    <t xml:space="preserve">Regulated</t>
  </si>
  <si>
    <t xml:space="preserve">Customer scale</t>
  </si>
  <si>
    <t xml:space="preserve">Prototype</t>
  </si>
  <si>
    <t xml:space="preserve">Custom</t>
  </si>
  <si>
    <t xml:space="preserve">Selected</t>
  </si>
  <si>
    <t xml:space="preserve">W1</t>
  </si>
  <si>
    <t xml:space="preserve">Task fit</t>
  </si>
  <si>
    <t xml:space="preserve">W2</t>
  </si>
  <si>
    <t xml:space="preserve">Unit cost and elasticity</t>
  </si>
  <si>
    <t xml:space="preserve">W3</t>
  </si>
  <si>
    <t xml:space="preserve">Complexity against team capacity</t>
  </si>
  <si>
    <t xml:space="preserve">W4</t>
  </si>
  <si>
    <t xml:space="preserve">Service level headroom</t>
  </si>
  <si>
    <t xml:space="preserve">W5</t>
  </si>
  <si>
    <t xml:space="preserve">Data readiness gap</t>
  </si>
  <si>
    <t xml:space="preserve">W6</t>
  </si>
  <si>
    <t xml:space="preserve">Evaluability</t>
  </si>
  <si>
    <t xml:space="preserve">W7</t>
  </si>
  <si>
    <t xml:space="preserve">Explainability and auditability</t>
  </si>
  <si>
    <t xml:space="preserve">W8</t>
  </si>
  <si>
    <t xml:space="preserve">Lock-in / exit cost</t>
  </si>
  <si>
    <t xml:space="preserve">W9</t>
  </si>
  <si>
    <t xml:space="preserve">Model-change resilience</t>
  </si>
  <si>
    <t xml:space="preserve">W10</t>
  </si>
  <si>
    <t xml:space="preserve">Human review load against capacity</t>
  </si>
  <si>
    <t xml:space="preserve">W11</t>
  </si>
  <si>
    <t xml:space="preserve">Time to value</t>
  </si>
  <si>
    <t xml:space="preserve">W12</t>
  </si>
  <si>
    <t xml:space="preserve">Value measurability</t>
  </si>
  <si>
    <t xml:space="preserve">Total (must be 100)</t>
  </si>
  <si>
    <t xml:space="preserve">Check</t>
  </si>
  <si>
    <t xml:space="preserve">Reason for Custom weights</t>
  </si>
  <si>
    <t xml:space="preserve">Stage 2: Weighted fit</t>
  </si>
  <si>
    <t xml:space="preserve">Score 1–5 per criterion for fit to THIS problem (5 = best), with evidence.</t>
  </si>
  <si>
    <t xml:space="preserve">1 = poor fit</t>
  </si>
  <si>
    <t xml:space="preserve">3 = adequate</t>
  </si>
  <si>
    <t xml:space="preserve">5 = strong fit</t>
  </si>
  <si>
    <t xml:space="preserve">Weight</t>
  </si>
  <si>
    <t xml:space="preserve">Score</t>
  </si>
  <si>
    <t xml:space="preserve">Shape does not match the task</t>
  </si>
  <si>
    <t xml:space="preserve">Matches most tasks; gaps need workarounds</t>
  </si>
  <si>
    <t xml:space="preserve">Designed for exactly this task shape</t>
  </si>
  <si>
    <t xml:space="preserve">Multi-hop questions; vector retrieval returns fragments</t>
  </si>
  <si>
    <t xml:space="preserve">Supplier → component → product → customer paths</t>
  </si>
  <si>
    <t xml:space="preserve">Exceeds band at target volume, or super-linear without limits</t>
  </si>
  <si>
    <t xml:space="preserve">Within band today; tight at 10×</t>
  </si>
  <si>
    <t xml:space="preserve">Comfortably within band at 10×</t>
  </si>
  <si>
    <t xml:space="preserve">Near-zero floor with S3 Vectors</t>
  </si>
  <si>
    <t xml:space="preserve">Aura floor + extraction cost; within B2</t>
  </si>
  <si>
    <t xml:space="preserve">≥ 2 levels above capacity</t>
  </si>
  <si>
    <t xml:space="preserve">1 level above, with funded support</t>
  </si>
  <si>
    <t xml:space="preserve">At or below capacity</t>
  </si>
  <si>
    <t xml:space="preserve">C2 matches team</t>
  </si>
  <si>
    <t xml:space="preserve">C3 vs C2 team; needs Neo4j support</t>
  </si>
  <si>
    <t xml:space="preserve">Only just meets tier; no degraded mode</t>
  </si>
  <si>
    <t xml:space="preserve">Meets tier with tested degraded mode</t>
  </si>
  <si>
    <t xml:space="preserve">Exceeds tier; failure modes understood</t>
  </si>
  <si>
    <t xml:space="preserve">Managed, degraded mode</t>
  </si>
  <si>
    <t xml:space="preserve">Neo4j in serial path; degraded mode = vector-only</t>
  </si>
  <si>
    <t xml:space="preserve">Several Partial prerequisites on the critical path</t>
  </si>
  <si>
    <t xml:space="preserve">One Partial prerequisite with a credible plan</t>
  </si>
  <si>
    <t xml:space="preserve">All prerequisites Ready</t>
  </si>
  <si>
    <t xml:space="preserve">Contracts need curation</t>
  </si>
  <si>
    <t xml:space="preserve">Spine ready; ontology owner partial</t>
  </si>
  <si>
    <t xml:space="preserve">Low; no scenario/human evaluation plan</t>
  </si>
  <si>
    <t xml:space="preserve">Medium; rubric plus human calibration</t>
  </si>
  <si>
    <t xml:space="preserve">High; golden set exists or is cheap</t>
  </si>
  <si>
    <t xml:space="preserve">Q&amp;A golden set</t>
  </si>
  <si>
    <t xml:space="preserve">Multi-hop set must be built</t>
  </si>
  <si>
    <t xml:space="preserve">Below user/auditor need</t>
  </si>
  <si>
    <t xml:space="preserve">Meets need (citations or traces)</t>
  </si>
  <si>
    <t xml:space="preserve">Structured evidence beyond need</t>
  </si>
  <si>
    <t xml:space="preserve">Citations</t>
  </si>
  <si>
    <t xml:space="preserve">Graph path as evidence</t>
  </si>
  <si>
    <t xml:space="preserve">High; no mitigation</t>
  </si>
  <si>
    <t xml:space="preserve">Medium, or High with mitigations</t>
  </si>
  <si>
    <t xml:space="preserve">Low</t>
  </si>
  <si>
    <t xml:space="preserve">Data portable in S3</t>
  </si>
  <si>
    <t xml:space="preserve">Cypher/Neo4j specifics</t>
  </si>
  <si>
    <t xml:space="preserve">High sensitivity; no harness or fallback</t>
  </si>
  <si>
    <t xml:space="preserve">Medium; harness catches regressions</t>
  </si>
  <si>
    <t xml:space="preserve">Low; interchangeable fallbacks</t>
  </si>
  <si>
    <t xml:space="preserve">Low–medium</t>
  </si>
  <si>
    <t xml:space="preserve">Re-extraction on model change</t>
  </si>
  <si>
    <t xml:space="preserve">&gt; 80% of reviewer capacity</t>
  </si>
  <si>
    <t xml:space="preserve">50–80% of capacity</t>
  </si>
  <si>
    <t xml:space="preserve">&lt; 50%, or no review needed</t>
  </si>
  <si>
    <t xml:space="preserve">None</t>
  </si>
  <si>
    <t xml:space="preserve">Curation queue ~65% of steward capacity</t>
  </si>
  <si>
    <t xml:space="preserve">Beyond the business deadline</t>
  </si>
  <si>
    <t xml:space="preserve">Meets deadline with little slack</t>
  </si>
  <si>
    <t xml:space="preserve">Well within deadline</t>
  </si>
  <si>
    <t xml:space="preserve">4 weeks</t>
  </si>
  <si>
    <t xml:space="preserve">~4 months to production</t>
  </si>
  <si>
    <t xml:space="preserve">No baseline; qualitative only</t>
  </si>
  <si>
    <t xml:space="preserve">Baseline can be sampled</t>
  </si>
  <si>
    <t xml:space="preserve">Baseline exists; metric instrumented</t>
  </si>
  <si>
    <t xml:space="preserve">Sampled analyst time</t>
  </si>
  <si>
    <t xml:space="preserve">Investigation time logged in case tool</t>
  </si>
  <si>
    <t xml:space="preserve">Total weight</t>
  </si>
  <si>
    <t xml:space="preserve">Results</t>
  </si>
  <si>
    <t xml:space="preserve">Weighted score (20–100)</t>
  </si>
  <si>
    <t xml:space="preserve">Criteria scored</t>
  </si>
  <si>
    <t xml:space="preserve">Task-fit cap (W1 ≤ 2)</t>
  </si>
  <si>
    <t xml:space="preserve">Low-score flags (score 1, weight ≥ 10)</t>
  </si>
  <si>
    <t xml:space="preserve">Band</t>
  </si>
  <si>
    <t xml:space="preserve">Eligible score (helper)</t>
  </si>
  <si>
    <t xml:space="preserve">Rank among eligible</t>
  </si>
  <si>
    <t xml:space="preserve">Close call (top two within 5 pts)</t>
  </si>
  <si>
    <t xml:space="preserve">VERDICT</t>
  </si>
  <si>
    <t xml:space="preserve">Stage 3: Validation (bake-off and quality attribute scenarios)</t>
  </si>
  <si>
    <t xml:space="preserve">Enter targets and results. 'Better is' sets the comparison.</t>
  </si>
  <si>
    <t xml:space="preserve">Better is</t>
  </si>
  <si>
    <t xml:space="preserve">Target</t>
  </si>
  <si>
    <t xml:space="preserve">Met?</t>
  </si>
  <si>
    <t xml:space="preserve">Quality on golden set (fraction correct; multi-hop / scenario subset where relevant)</t>
  </si>
  <si>
    <t xml:space="preserve">Higher</t>
  </si>
  <si>
    <t xml:space="preserve">Cost per transaction at target volume ($)</t>
  </si>
  <si>
    <t xml:space="preserve">Lower</t>
  </si>
  <si>
    <t xml:space="preserve">Cost per transaction at 10× volume ($)</t>
  </si>
  <si>
    <t xml:space="preserve">p95 time-to-first-token (s)</t>
  </si>
  <si>
    <t xml:space="preserve">p95 end-to-end latency (s)</t>
  </si>
  <si>
    <t xml:space="preserve">Scenario 1: e.g. primary-Region throttling at peak → cited search results within 3 s</t>
  </si>
  <si>
    <t xml:space="preserve">Scenario 2: e.g. user without entitlement → no restricted content retrieved</t>
  </si>
  <si>
    <t xml:space="preserve">Scenario 3: e.g. model upgrade → evaluation regression caught before release</t>
  </si>
  <si>
    <t xml:space="preserve">Checks met</t>
  </si>
  <si>
    <t xml:space="preserve">Task-fit cap outcome</t>
  </si>
  <si>
    <t xml:space="preserve">Decision (pattern(s) and evidence)</t>
  </si>
  <si>
    <t xml:space="preserve">P06 with the graph built by a P02 pipeline. P04 hit the task-fit cap and scored 41% on the multi-hop set (target 80%); P06 prototype scored 82%. Mitigations: Neo4j specialist support (W3), openCypher-compatible templated queries (W8), phased delivery with P04 for single-document questions in month 1 (W11). Figures are illustrative.</t>
  </si>
  <si>
    <t xml:space="preserve">Stage 4: Post-implementation review</t>
  </si>
  <si>
    <t xml:space="preserve">3–6 months after go-live. Variance = (actual − estimate) ÷ estimate.</t>
  </si>
  <si>
    <t xml:space="preserve">Measure</t>
  </si>
  <si>
    <t xml:space="preserve">Unit</t>
  </si>
  <si>
    <t xml:space="preserve">Selection-time estimate</t>
  </si>
  <si>
    <t xml:space="preserve">Actual</t>
  </si>
  <si>
    <t xml:space="preserve">Variance</t>
  </si>
  <si>
    <t xml:space="preserve">Action / change to pattern ratings</t>
  </si>
  <si>
    <t xml:space="preserve">Unit cost P50</t>
  </si>
  <si>
    <t xml:space="preserve">$ / transaction</t>
  </si>
  <si>
    <t xml:space="preserve">Unit cost P95</t>
  </si>
  <si>
    <t xml:space="preserve">Composite availability</t>
  </si>
  <si>
    <t xml:space="preserve">%</t>
  </si>
  <si>
    <t xml:space="preserve">p95 end-to-end latency</t>
  </si>
  <si>
    <t xml:space="preserve">s</t>
  </si>
  <si>
    <t xml:space="preserve">Quality SLI</t>
  </si>
  <si>
    <t xml:space="preserve">Override / escalation rate</t>
  </si>
  <si>
    <t xml:space="preserve">Review queue load</t>
  </si>
  <si>
    <t xml:space="preserve">% of capacity</t>
  </si>
  <si>
    <t xml:space="preserve">Value metric</t>
  </si>
  <si>
    <t xml:space="preserve">as defined</t>
  </si>
  <si>
    <t xml:space="preserve">Published pattern ratings (reference)</t>
  </si>
  <si>
    <t xml:space="preserve">From ai-patterns/README.md. Numeric columns (grey) drive the gate hints. Update when the catalogue changes.</t>
  </si>
  <si>
    <t xml:space="preserve">ID</t>
  </si>
  <si>
    <t xml:space="preserve">Pattern</t>
  </si>
  <si>
    <t xml:space="preserve">Label (used in dropdowns)</t>
  </si>
  <si>
    <t xml:space="preserve">Budget</t>
  </si>
  <si>
    <t xml:space="preserve">Complexity</t>
  </si>
  <si>
    <t xml:space="preserve">Max service level</t>
  </si>
  <si>
    <t xml:space="preserve">Max consequence</t>
  </si>
  <si>
    <t xml:space="preserve">Data demand</t>
  </si>
  <si>
    <t xml:space="preserve">Cost elasticity</t>
  </si>
  <si>
    <t xml:space="preserve">Lock-in</t>
  </si>
  <si>
    <t xml:space="preserve">Explainability</t>
  </si>
  <si>
    <t xml:space="preserve">Regulatory fit</t>
  </si>
  <si>
    <t xml:space="preserve">Model-change sensitivity</t>
  </si>
  <si>
    <t xml:space="preserve">Human review</t>
  </si>
  <si>
    <t xml:space="preserve">Min budget band #</t>
  </si>
  <si>
    <t xml:space="preserve">Min complexity #</t>
  </si>
  <si>
    <t xml:space="preserve">Max SL #</t>
  </si>
  <si>
    <t xml:space="preserve">Max E # (with controls)</t>
  </si>
  <si>
    <t xml:space="preserve">Max R # (with controls)</t>
  </si>
  <si>
    <t xml:space="preserve">P01</t>
  </si>
  <si>
    <t xml:space="preserve">Serverless model invocation</t>
  </si>
  <si>
    <t xml:space="preserve">B1–B2</t>
  </si>
  <si>
    <t xml:space="preserve">C1</t>
  </si>
  <si>
    <t xml:space="preserve">SL2 (SL3 with uplift)</t>
  </si>
  <si>
    <t xml:space="preserve">E2 (E3 if every output reviewed)</t>
  </si>
  <si>
    <t xml:space="preserve">High</t>
  </si>
  <si>
    <t xml:space="preserve">Linear</t>
  </si>
  <si>
    <t xml:space="preserve">R1 (R2 assistive only)</t>
  </si>
  <si>
    <t xml:space="preserve">Medium</t>
  </si>
  <si>
    <t xml:space="preserve">None/Low</t>
  </si>
  <si>
    <t xml:space="preserve">P02</t>
  </si>
  <si>
    <t xml:space="preserve">Batch AI enrichment pipeline</t>
  </si>
  <si>
    <t xml:space="preserve">B1–B3</t>
  </si>
  <si>
    <t xml:space="preserve">SL2 (throughput)</t>
  </si>
  <si>
    <t xml:space="preserve">E3 (with review queue)</t>
  </si>
  <si>
    <t xml:space="preserve">Low / High (Cortex)</t>
  </si>
  <si>
    <t xml:space="preserve">R2 (with review)</t>
  </si>
  <si>
    <t xml:space="preserve">P03</t>
  </si>
  <si>
    <t xml:space="preserve">In-warehouse AI and prototyping (Snowflake)</t>
  </si>
  <si>
    <t xml:space="preserve">SL1 (SL2 internal)</t>
  </si>
  <si>
    <t xml:space="preserve">E1–E2</t>
  </si>
  <si>
    <t xml:space="preserve">R0–R1</t>
  </si>
  <si>
    <t xml:space="preserve">Low–Medium</t>
  </si>
  <si>
    <t xml:space="preserve">P04</t>
  </si>
  <si>
    <t xml:space="preserve">Managed RAG (Bedrock Knowledge Bases)</t>
  </si>
  <si>
    <t xml:space="preserve">E2 (E3 advisory)</t>
  </si>
  <si>
    <t xml:space="preserve">R1 (R2 assistive)</t>
  </si>
  <si>
    <t xml:space="preserve">P05</t>
  </si>
  <si>
    <t xml:space="preserve">Enterprise RAG platform</t>
  </si>
  <si>
    <t xml:space="preserve">B3–B4</t>
  </si>
  <si>
    <t xml:space="preserve">C3–C4</t>
  </si>
  <si>
    <t xml:space="preserve">SL3</t>
  </si>
  <si>
    <t xml:space="preserve">E3 advisory</t>
  </si>
  <si>
    <t xml:space="preserve">Medium–High</t>
  </si>
  <si>
    <t xml:space="preserve">Sub-linear</t>
  </si>
  <si>
    <t xml:space="preserve">P06</t>
  </si>
  <si>
    <t xml:space="preserve">Knowledge graph RAG with Neo4j</t>
  </si>
  <si>
    <t xml:space="preserve">B2–B3</t>
  </si>
  <si>
    <t xml:space="preserve">C3</t>
  </si>
  <si>
    <t xml:space="preserve">SL2–SL3 (by Neo4j tier)</t>
  </si>
  <si>
    <t xml:space="preserve">Sub-linear (serving)</t>
  </si>
  <si>
    <t xml:space="preserve">R2 assistive</t>
  </si>
  <si>
    <t xml:space="preserve">P07</t>
  </si>
  <si>
    <t xml:space="preserve">Orchestrated agentic workflow</t>
  </si>
  <si>
    <t xml:space="preserve">C2–C3</t>
  </si>
  <si>
    <t xml:space="preserve">SL2 (SL3 feasible)</t>
  </si>
  <si>
    <t xml:space="preserve">E3–E4 (approval bands)</t>
  </si>
  <si>
    <t xml:space="preserve">R2 best fit</t>
  </si>
  <si>
    <t xml:space="preserve">P08</t>
  </si>
  <si>
    <t xml:space="preserve">Tool-using agent (bounded autonomy)</t>
  </si>
  <si>
    <t xml:space="preserve">E2 (E3 with confirmed writes)</t>
  </si>
  <si>
    <t xml:space="preserve">Super-linear</t>
  </si>
  <si>
    <t xml:space="preserve">P09</t>
  </si>
  <si>
    <t xml:space="preserve">Conversational analytics</t>
  </si>
  <si>
    <t xml:space="preserve">E2 (E3 with verification)</t>
  </si>
  <si>
    <t xml:space="preserve">High (A) / Medium (B)</t>
  </si>
  <si>
    <t xml:space="preserve">P10</t>
  </si>
  <si>
    <t xml:space="preserve">Customised and self-hosted models</t>
  </si>
  <si>
    <t xml:space="preserve">C4</t>
  </si>
  <si>
    <t xml:space="preserve">Inherits host pattern</t>
  </si>
  <si>
    <t xml:space="preserve">Sub-linear at high utilisation</t>
  </si>
  <si>
    <t xml:space="preserve">Low–High</t>
  </si>
  <si>
    <t xml:space="preserve">Adds training-data obligations</t>
  </si>
  <si>
    <t xml:space="preserve">Self-owned lifecycle</t>
  </si>
  <si>
    <t xml:space="preserve">Inherits</t>
  </si>
  <si>
    <t xml:space="preserve">P11</t>
  </si>
  <si>
    <t xml:space="preserve">Predictive ML with a generative interface</t>
  </si>
  <si>
    <t xml:space="preserve">SL3 (scoring path)</t>
  </si>
  <si>
    <t xml:space="preserve">E4 (with human oversight)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</si>
</sst>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%"/>
    <numFmt numFmtId="167" formatCode="\$#,##0.0000"/>
    <numFmt numFmtId="168" formatCode="0.0%;\-0.0%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  <c r="B5" s="5" t="s">
        <v>4</v>
      </c>
    </row>
    <row r="6" customFormat="false" ht="23.8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23.8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1" customFormat="false" ht="15" hidden="false" customHeight="false" outlineLevel="0" collapsed="false">
      <c r="A11" s="3" t="s">
        <v>15</v>
      </c>
    </row>
    <row r="12" customFormat="false" ht="15" hidden="false" customHeight="false" outlineLevel="0" collapsed="false">
      <c r="A12" s="6" t="s">
        <v>16</v>
      </c>
      <c r="B12" s="5" t="s">
        <v>17</v>
      </c>
    </row>
    <row r="13" customFormat="false" ht="15" hidden="false" customHeight="false" outlineLevel="0" collapsed="false">
      <c r="A13" s="4" t="s">
        <v>18</v>
      </c>
      <c r="B13" s="5" t="s">
        <v>19</v>
      </c>
    </row>
    <row r="14" customFormat="false" ht="15" hidden="false" customHeight="false" outlineLevel="0" collapsed="false">
      <c r="A14" s="7" t="s">
        <v>20</v>
      </c>
      <c r="B14" s="5" t="s">
        <v>21</v>
      </c>
    </row>
    <row r="15" customFormat="false" ht="15" hidden="false" customHeight="false" outlineLevel="0" collapsed="false">
      <c r="A15" s="3" t="s">
        <v>22</v>
      </c>
    </row>
    <row r="16" customFormat="false" ht="15" hidden="false" customHeight="false" outlineLevel="0" collapsed="false">
      <c r="A16" s="4" t="s">
        <v>23</v>
      </c>
      <c r="B16" s="5" t="s">
        <v>24</v>
      </c>
    </row>
    <row r="17" customFormat="false" ht="15" hidden="false" customHeight="false" outlineLevel="0" collapsed="false">
      <c r="A17" s="4" t="s">
        <v>25</v>
      </c>
      <c r="B17" s="5" t="s">
        <v>26</v>
      </c>
    </row>
    <row r="18" customFormat="false" ht="15" hidden="false" customHeight="false" outlineLevel="0" collapsed="false">
      <c r="A18" s="4" t="s">
        <v>27</v>
      </c>
      <c r="B18" s="5" t="s">
        <v>28</v>
      </c>
    </row>
    <row r="19" customFormat="false" ht="15" hidden="false" customHeight="false" outlineLevel="0" collapsed="false">
      <c r="A19" s="4" t="s">
        <v>29</v>
      </c>
      <c r="B19" s="5" t="s">
        <v>30</v>
      </c>
    </row>
    <row r="20" customFormat="false" ht="15" hidden="false" customHeight="false" outlineLevel="0" collapsed="false">
      <c r="A20" s="4" t="s">
        <v>31</v>
      </c>
      <c r="B20" s="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8" t="s">
        <v>34</v>
      </c>
    </row>
    <row r="4" customFormat="false" ht="15" hidden="false" customHeight="false" outlineLevel="0" collapsed="false">
      <c r="A4" s="9" t="s">
        <v>35</v>
      </c>
      <c r="B4" s="9" t="s">
        <v>36</v>
      </c>
      <c r="C4" s="9" t="s">
        <v>37</v>
      </c>
    </row>
    <row r="5" customFormat="false" ht="23.85" hidden="false" customHeight="false" outlineLevel="0" collapsed="false">
      <c r="A5" s="4" t="s">
        <v>38</v>
      </c>
      <c r="B5" s="10" t="s">
        <v>39</v>
      </c>
      <c r="C5" s="11"/>
    </row>
    <row r="6" customFormat="false" ht="15" hidden="false" customHeight="false" outlineLevel="0" collapsed="false">
      <c r="A6" s="4" t="s">
        <v>40</v>
      </c>
      <c r="B6" s="10" t="s">
        <v>41</v>
      </c>
      <c r="C6" s="11"/>
    </row>
    <row r="7" customFormat="false" ht="15" hidden="false" customHeight="false" outlineLevel="0" collapsed="false">
      <c r="A7" s="4" t="s">
        <v>42</v>
      </c>
      <c r="B7" s="10" t="s">
        <v>43</v>
      </c>
      <c r="C7" s="11" t="s">
        <v>44</v>
      </c>
    </row>
    <row r="8" customFormat="false" ht="15" hidden="false" customHeight="false" outlineLevel="0" collapsed="false">
      <c r="A8" s="4" t="s">
        <v>45</v>
      </c>
      <c r="B8" s="10" t="s">
        <v>46</v>
      </c>
      <c r="C8" s="11" t="s">
        <v>47</v>
      </c>
    </row>
    <row r="9" customFormat="false" ht="15" hidden="false" customHeight="false" outlineLevel="0" collapsed="false">
      <c r="A9" s="4" t="s">
        <v>48</v>
      </c>
      <c r="B9" s="10" t="s">
        <v>49</v>
      </c>
      <c r="C9" s="11" t="s">
        <v>50</v>
      </c>
    </row>
    <row r="10" customFormat="false" ht="15" hidden="false" customHeight="false" outlineLevel="0" collapsed="false">
      <c r="A10" s="4" t="s">
        <v>51</v>
      </c>
      <c r="B10" s="10" t="s">
        <v>52</v>
      </c>
      <c r="C10" s="11" t="s">
        <v>53</v>
      </c>
    </row>
    <row r="11" customFormat="false" ht="15" hidden="false" customHeight="false" outlineLevel="0" collapsed="false">
      <c r="A11" s="4" t="s">
        <v>54</v>
      </c>
      <c r="B11" s="10" t="s">
        <v>55</v>
      </c>
      <c r="C11" s="11"/>
    </row>
    <row r="12" customFormat="false" ht="15" hidden="false" customHeight="false" outlineLevel="0" collapsed="false">
      <c r="A12" s="4" t="s">
        <v>56</v>
      </c>
      <c r="B12" s="10" t="s">
        <v>57</v>
      </c>
      <c r="C12" s="11" t="s">
        <v>58</v>
      </c>
    </row>
    <row r="13" customFormat="false" ht="15" hidden="false" customHeight="false" outlineLevel="0" collapsed="false">
      <c r="A13" s="4" t="s">
        <v>59</v>
      </c>
      <c r="B13" s="10" t="s">
        <v>60</v>
      </c>
      <c r="C13" s="11"/>
    </row>
    <row r="14" customFormat="false" ht="15" hidden="false" customHeight="false" outlineLevel="0" collapsed="false">
      <c r="A14" s="4" t="s">
        <v>61</v>
      </c>
      <c r="B14" s="10" t="s">
        <v>62</v>
      </c>
      <c r="C14" s="11" t="s">
        <v>63</v>
      </c>
    </row>
    <row r="15" customFormat="false" ht="15" hidden="false" customHeight="false" outlineLevel="0" collapsed="false">
      <c r="A15" s="4" t="s">
        <v>64</v>
      </c>
      <c r="B15" s="10" t="s">
        <v>65</v>
      </c>
      <c r="C15" s="11" t="s">
        <v>66</v>
      </c>
    </row>
    <row r="16" customFormat="false" ht="23.85" hidden="false" customHeight="false" outlineLevel="0" collapsed="false">
      <c r="A16" s="4" t="s">
        <v>67</v>
      </c>
      <c r="B16" s="10" t="s">
        <v>68</v>
      </c>
      <c r="C16" s="11"/>
    </row>
    <row r="17" customFormat="false" ht="15" hidden="false" customHeight="false" outlineLevel="0" collapsed="false">
      <c r="A17" s="4" t="s">
        <v>69</v>
      </c>
      <c r="B17" s="10" t="s">
        <v>70</v>
      </c>
      <c r="C17" s="11"/>
    </row>
    <row r="18" customFormat="false" ht="15" hidden="false" customHeight="false" outlineLevel="0" collapsed="false">
      <c r="A18" s="4" t="s">
        <v>71</v>
      </c>
      <c r="B18" s="10" t="s">
        <v>72</v>
      </c>
      <c r="C18" s="11" t="s">
        <v>73</v>
      </c>
    </row>
    <row r="19" customFormat="false" ht="15" hidden="false" customHeight="false" outlineLevel="0" collapsed="false">
      <c r="A19" s="4" t="s">
        <v>74</v>
      </c>
      <c r="B19" s="10" t="s">
        <v>75</v>
      </c>
      <c r="C19" s="11" t="s">
        <v>76</v>
      </c>
    </row>
    <row r="21" customFormat="false" ht="15" hidden="false" customHeight="false" outlineLevel="0" collapsed="false">
      <c r="A21" s="12" t="s">
        <v>77</v>
      </c>
      <c r="B21" s="12" t="s">
        <v>78</v>
      </c>
      <c r="C21" s="12" t="s">
        <v>79</v>
      </c>
    </row>
    <row r="22" customFormat="false" ht="15" hidden="false" customHeight="false" outlineLevel="0" collapsed="false">
      <c r="A22" s="4" t="s">
        <v>80</v>
      </c>
      <c r="B22" s="10" t="s">
        <v>81</v>
      </c>
      <c r="C22" s="10" t="s">
        <v>82</v>
      </c>
    </row>
    <row r="23" customFormat="false" ht="15" hidden="false" customHeight="false" outlineLevel="0" collapsed="false">
      <c r="A23" s="4" t="s">
        <v>83</v>
      </c>
      <c r="B23" s="10" t="s">
        <v>84</v>
      </c>
      <c r="C23" s="10" t="s">
        <v>85</v>
      </c>
    </row>
    <row r="24" customFormat="false" ht="15" hidden="false" customHeight="false" outlineLevel="0" collapsed="false">
      <c r="A24" s="4" t="s">
        <v>86</v>
      </c>
      <c r="B24" s="10" t="s">
        <v>87</v>
      </c>
      <c r="C24" s="10" t="s">
        <v>88</v>
      </c>
    </row>
  </sheetData>
  <dataValidations count="9">
    <dataValidation allowBlank="true" errorStyle="stop" operator="between" showDropDown="false" showErrorMessage="false" showInputMessage="false" sqref="B8" type="list">
      <formula1>"Default,Regulated,Customer scale,Prototype,Custom"</formula1>
      <formula2>0</formula2>
    </dataValidation>
    <dataValidation allowBlank="true" errorStyle="stop" operator="between" showDropDown="false" showErrorMessage="false" showInputMessage="false" sqref="B9" type="list">
      <formula1>"E1,E2,E3,E4"</formula1>
      <formula2>0</formula2>
    </dataValidation>
    <dataValidation allowBlank="true" errorStyle="stop" operator="between" showDropDown="false" showErrorMessage="false" showInputMessage="false" sqref="B10" type="list">
      <formula1>"R0,R1,R2,R3"</formula1>
      <formula2>0</formula2>
    </dataValidation>
    <dataValidation allowBlank="true" errorStyle="stop" operator="between" showDropDown="false" showErrorMessage="false" showInputMessage="false" sqref="B12" type="list">
      <formula1>"B1,B2,B3,B4"</formula1>
      <formula2>0</formula2>
    </dataValidation>
    <dataValidation allowBlank="true" errorStyle="stop" operator="between" showDropDown="false" showErrorMessage="false" showInputMessage="false" sqref="B14" type="list">
      <formula1>"SL0,SL1,SL2,SL3"</formula1>
      <formula2>0</formula2>
    </dataValidation>
    <dataValidation allowBlank="true" errorStyle="stop" operator="between" showDropDown="false" showErrorMessage="false" showInputMessage="false" sqref="B15" type="list">
      <formula1>"C1,C2,C3,C4"</formula1>
      <formula2>0</formula2>
    </dataValidation>
    <dataValidation allowBlank="true" errorStyle="stop" operator="between" showDropDown="false" showErrorMessage="false" showInputMessage="false" sqref="B18" type="list">
      <formula1>"Yes,Sampled,No"</formula1>
      <formula2>0</formula2>
    </dataValidation>
    <dataValidation allowBlank="true" errorStyle="stop" operator="between" showDropDown="false" showErrorMessage="false" showInputMessage="false" sqref="B19" type="list">
      <formula1>"Single-shot,Document,Multi-hop,Metric,Process,Open-ended,Prediction"</formula1>
      <formula2>0</formula2>
    </dataValidation>
    <dataValidation allowBlank="true" errorStyle="stop" operator="between" showDropDown="false" showErrorMessage="false" showInputMessage="false" sqref="B22:B24" type="list">
      <formula1>'Pattern Ratings'!$C$5:$C$15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28"/>
    <col collapsed="false" customWidth="true" hidden="false" outlineLevel="0" max="10" min="10" style="0" width="10"/>
    <col collapsed="false" customWidth="true" hidden="false" outlineLevel="0" max="11" min="11" style="0" width="30"/>
    <col collapsed="false" customWidth="true" hidden="false" outlineLevel="0" max="12" min="12" style="0" width="28"/>
  </cols>
  <sheetData>
    <row r="1" customFormat="false" ht="17.35" hidden="false" customHeight="false" outlineLevel="0" collapsed="false">
      <c r="A1" s="1" t="s">
        <v>89</v>
      </c>
    </row>
    <row r="2" customFormat="false" ht="15" hidden="false" customHeight="false" outlineLevel="0" collapsed="false">
      <c r="A2" s="8" t="s">
        <v>90</v>
      </c>
    </row>
    <row r="3" customFormat="false" ht="15" hidden="false" customHeight="false" outlineLevel="0" collapsed="false">
      <c r="D3" s="13" t="str">
        <f aca="false">IF(Problem!$B$22="","Candidate A",Problem!$B$22)</f>
        <v>P04 Managed RAG (Bedrock Knowledge Bases)</v>
      </c>
      <c r="E3" s="13"/>
      <c r="F3" s="13"/>
      <c r="G3" s="13" t="str">
        <f aca="false">IF(Problem!$B$23="","Candidate B",Problem!$B$23)</f>
        <v>P06 Knowledge graph RAG with Neo4j</v>
      </c>
      <c r="H3" s="13"/>
      <c r="I3" s="13"/>
      <c r="J3" s="13" t="str">
        <f aca="false">IF(Problem!$B$24="","Candidate C",Problem!$B$24)</f>
        <v>P08 Tool-using agent (bounded autonomy)</v>
      </c>
      <c r="K3" s="13"/>
      <c r="L3" s="13"/>
    </row>
    <row r="4" customFormat="false" ht="15" hidden="false" customHeight="false" outlineLevel="0" collapsed="false">
      <c r="A4" s="9" t="s">
        <v>91</v>
      </c>
      <c r="B4" s="9" t="s">
        <v>92</v>
      </c>
      <c r="C4" s="9" t="s">
        <v>93</v>
      </c>
      <c r="D4" s="9" t="s">
        <v>94</v>
      </c>
      <c r="E4" s="9" t="s">
        <v>95</v>
      </c>
      <c r="F4" s="9" t="s">
        <v>96</v>
      </c>
      <c r="G4" s="9" t="s">
        <v>94</v>
      </c>
      <c r="H4" s="9" t="s">
        <v>95</v>
      </c>
      <c r="I4" s="9" t="s">
        <v>96</v>
      </c>
      <c r="J4" s="9" t="s">
        <v>94</v>
      </c>
      <c r="K4" s="9" t="s">
        <v>95</v>
      </c>
      <c r="L4" s="9" t="s">
        <v>96</v>
      </c>
    </row>
    <row r="5" customFormat="false" ht="23.85" hidden="false" customHeight="false" outlineLevel="0" collapsed="false">
      <c r="A5" s="14" t="s">
        <v>97</v>
      </c>
      <c r="B5" s="4" t="s">
        <v>98</v>
      </c>
      <c r="C5" s="5" t="s">
        <v>99</v>
      </c>
      <c r="D5" s="15" t="s">
        <v>100</v>
      </c>
      <c r="E5" s="5" t="str">
        <f aca="false">IF(Problem!$B$22="","","Manual assessment")</f>
        <v>Manual assessment</v>
      </c>
      <c r="F5" s="10"/>
      <c r="G5" s="15" t="s">
        <v>100</v>
      </c>
      <c r="H5" s="5" t="str">
        <f aca="false">IF(Problem!$B$23="","","Manual assessment")</f>
        <v>Manual assessment</v>
      </c>
      <c r="I5" s="10"/>
      <c r="J5" s="15" t="s">
        <v>100</v>
      </c>
      <c r="K5" s="5" t="str">
        <f aca="false">IF(Problem!$B$24="","","Manual assessment")</f>
        <v>Manual assessment</v>
      </c>
      <c r="L5" s="10"/>
    </row>
    <row r="6" customFormat="false" ht="23.85" hidden="false" customHeight="false" outlineLevel="0" collapsed="false">
      <c r="A6" s="14" t="s">
        <v>101</v>
      </c>
      <c r="B6" s="4" t="s">
        <v>102</v>
      </c>
      <c r="C6" s="5" t="s">
        <v>103</v>
      </c>
      <c r="D6" s="15" t="s">
        <v>100</v>
      </c>
      <c r="E6" s="5" t="str">
        <f aca="false">IF(Problem!$B$22="","",IFERROR(IF(VALUE(RIGHT(Problem!$B$14,1))&lt;=INDEX('Pattern Ratings'!$R$5:$R$15,MATCH(Problem!$B$22,'Pattern Ratings'!$C$5:$C$15,0)),"OK: pattern reaches SL"&amp;INDEX('Pattern Ratings'!$R$5:$R$15,MATCH(Problem!$B$22,'Pattern Ratings'!$C$5:$C$15,0)),"LIKELY FAIL: pattern max is SL"&amp;INDEX('Pattern Ratings'!$R$5:$R$15,MATCH(Problem!$B$22,'Pattern Ratings'!$C$5:$C$15,0))),"Set service level tier"))</f>
        <v>OK: pattern reaches SL2</v>
      </c>
      <c r="F6" s="10"/>
      <c r="G6" s="15" t="s">
        <v>100</v>
      </c>
      <c r="H6" s="5" t="str">
        <f aca="false">IF(Problem!$B$23="","",IFERROR(IF(VALUE(RIGHT(Problem!$B$14,1))&lt;=INDEX('Pattern Ratings'!$R$5:$R$15,MATCH(Problem!$B$23,'Pattern Ratings'!$C$5:$C$15,0)),"OK: pattern reaches SL"&amp;INDEX('Pattern Ratings'!$R$5:$R$15,MATCH(Problem!$B$23,'Pattern Ratings'!$C$5:$C$15,0)),"LIKELY FAIL: pattern max is SL"&amp;INDEX('Pattern Ratings'!$R$5:$R$15,MATCH(Problem!$B$23,'Pattern Ratings'!$C$5:$C$15,0))),"Set service level tier"))</f>
        <v>OK: pattern reaches SL3</v>
      </c>
      <c r="I6" s="10"/>
      <c r="J6" s="15" t="s">
        <v>100</v>
      </c>
      <c r="K6" s="5" t="str">
        <f aca="false">IF(Problem!$B$24="","",IFERROR(IF(VALUE(RIGHT(Problem!$B$14,1))&lt;=INDEX('Pattern Ratings'!$R$5:$R$15,MATCH(Problem!$B$24,'Pattern Ratings'!$C$5:$C$15,0)),"OK: pattern reaches SL"&amp;INDEX('Pattern Ratings'!$R$5:$R$15,MATCH(Problem!$B$24,'Pattern Ratings'!$C$5:$C$15,0)),"LIKELY FAIL: pattern max is SL"&amp;INDEX('Pattern Ratings'!$R$5:$R$15,MATCH(Problem!$B$24,'Pattern Ratings'!$C$5:$C$15,0))),"Set service level tier"))</f>
        <v>OK: pattern reaches SL2</v>
      </c>
      <c r="L6" s="10"/>
    </row>
    <row r="7" customFormat="false" ht="23.85" hidden="false" customHeight="false" outlineLevel="0" collapsed="false">
      <c r="A7" s="14" t="s">
        <v>104</v>
      </c>
      <c r="B7" s="4" t="s">
        <v>48</v>
      </c>
      <c r="C7" s="5" t="s">
        <v>105</v>
      </c>
      <c r="D7" s="15" t="s">
        <v>100</v>
      </c>
      <c r="E7" s="5" t="str">
        <f aca="false">IF(Problem!$B$22="","",IF(NOT(ISNUMBER(INDEX('Pattern Ratings'!$S$5:$S$15,MATCH(Problem!$B$22,'Pattern Ratings'!$C$5:$C$15,0)))),"CHECK: inherits host pattern",IFERROR(IF(VALUE(RIGHT(Problem!$B$9,1))&lt;=INDEX('Pattern Ratings'!$S$5:$S$15,MATCH(Problem!$B$22,'Pattern Ratings'!$C$5:$C$15,0)),"OK with the pattern's stated controls","LIKELY FAIL: pattern supports up to E"&amp;INDEX('Pattern Ratings'!$S$5:$S$15,MATCH(Problem!$B$22,'Pattern Ratings'!$C$5:$C$15,0))),"Set consequence level")))</f>
        <v>OK with the pattern's stated controls</v>
      </c>
      <c r="F7" s="10"/>
      <c r="G7" s="15" t="s">
        <v>100</v>
      </c>
      <c r="H7" s="5" t="str">
        <f aca="false">IF(Problem!$B$23="","",IF(NOT(ISNUMBER(INDEX('Pattern Ratings'!$S$5:$S$15,MATCH(Problem!$B$23,'Pattern Ratings'!$C$5:$C$15,0)))),"CHECK: inherits host pattern",IFERROR(IF(VALUE(RIGHT(Problem!$B$9,1))&lt;=INDEX('Pattern Ratings'!$S$5:$S$15,MATCH(Problem!$B$23,'Pattern Ratings'!$C$5:$C$15,0)),"OK with the pattern's stated controls","LIKELY FAIL: pattern supports up to E"&amp;INDEX('Pattern Ratings'!$S$5:$S$15,MATCH(Problem!$B$23,'Pattern Ratings'!$C$5:$C$15,0))),"Set consequence level")))</f>
        <v>OK with the pattern's stated controls</v>
      </c>
      <c r="I7" s="10"/>
      <c r="J7" s="15" t="s">
        <v>100</v>
      </c>
      <c r="K7" s="5" t="str">
        <f aca="false">IF(Problem!$B$24="","",IF(NOT(ISNUMBER(INDEX('Pattern Ratings'!$S$5:$S$15,MATCH(Problem!$B$24,'Pattern Ratings'!$C$5:$C$15,0)))),"CHECK: inherits host pattern",IFERROR(IF(VALUE(RIGHT(Problem!$B$9,1))&lt;=INDEX('Pattern Ratings'!$S$5:$S$15,MATCH(Problem!$B$24,'Pattern Ratings'!$C$5:$C$15,0)),"OK with the pattern's stated controls","LIKELY FAIL: pattern supports up to E"&amp;INDEX('Pattern Ratings'!$S$5:$S$15,MATCH(Problem!$B$24,'Pattern Ratings'!$C$5:$C$15,0))),"Set consequence level")))</f>
        <v>OK with the pattern's stated controls</v>
      </c>
      <c r="L7" s="10"/>
    </row>
    <row r="8" customFormat="false" ht="15" hidden="false" customHeight="false" outlineLevel="0" collapsed="false">
      <c r="A8" s="14" t="s">
        <v>106</v>
      </c>
      <c r="B8" s="4" t="s">
        <v>51</v>
      </c>
      <c r="C8" s="5" t="s">
        <v>107</v>
      </c>
      <c r="D8" s="15" t="s">
        <v>100</v>
      </c>
      <c r="E8" s="5" t="str">
        <f aca="false">IF(Problem!$B$22="","",IF(Problem!$B$10="R3","FAIL: prohibited use",IF(NOT(ISNUMBER(INDEX('Pattern Ratings'!$T$5:$T$15,MATCH(Problem!$B$22,'Pattern Ratings'!$C$5:$C$15,0)))),"CHECK: inherits host pattern",IFERROR(IF(VALUE(RIGHT(Problem!$B$10,1))&lt;=INDEX('Pattern Ratings'!$T$5:$T$15,MATCH(Problem!$B$22,'Pattern Ratings'!$C$5:$C$15,0)),"OK with the pattern's stated controls","LIKELY FAIL: pattern supports up to R"&amp;INDEX('Pattern Ratings'!$T$5:$T$15,MATCH(Problem!$B$22,'Pattern Ratings'!$C$5:$C$15,0))),"Set regulatory profile"))))</f>
        <v>OK with the pattern's stated controls</v>
      </c>
      <c r="F8" s="10"/>
      <c r="G8" s="15" t="s">
        <v>100</v>
      </c>
      <c r="H8" s="5" t="str">
        <f aca="false">IF(Problem!$B$23="","",IF(Problem!$B$10="R3","FAIL: prohibited use",IF(NOT(ISNUMBER(INDEX('Pattern Ratings'!$T$5:$T$15,MATCH(Problem!$B$23,'Pattern Ratings'!$C$5:$C$15,0)))),"CHECK: inherits host pattern",IFERROR(IF(VALUE(RIGHT(Problem!$B$10,1))&lt;=INDEX('Pattern Ratings'!$T$5:$T$15,MATCH(Problem!$B$23,'Pattern Ratings'!$C$5:$C$15,0)),"OK with the pattern's stated controls","LIKELY FAIL: pattern supports up to R"&amp;INDEX('Pattern Ratings'!$T$5:$T$15,MATCH(Problem!$B$23,'Pattern Ratings'!$C$5:$C$15,0))),"Set regulatory profile"))))</f>
        <v>OK with the pattern's stated controls</v>
      </c>
      <c r="I8" s="10"/>
      <c r="J8" s="15" t="s">
        <v>100</v>
      </c>
      <c r="K8" s="5" t="str">
        <f aca="false">IF(Problem!$B$24="","",IF(Problem!$B$10="R3","FAIL: prohibited use",IF(NOT(ISNUMBER(INDEX('Pattern Ratings'!$T$5:$T$15,MATCH(Problem!$B$24,'Pattern Ratings'!$C$5:$C$15,0)))),"CHECK: inherits host pattern",IFERROR(IF(VALUE(RIGHT(Problem!$B$10,1))&lt;=INDEX('Pattern Ratings'!$T$5:$T$15,MATCH(Problem!$B$24,'Pattern Ratings'!$C$5:$C$15,0)),"OK with the pattern's stated controls","LIKELY FAIL: pattern supports up to R"&amp;INDEX('Pattern Ratings'!$T$5:$T$15,MATCH(Problem!$B$24,'Pattern Ratings'!$C$5:$C$15,0))),"Set regulatory profile"))))</f>
        <v>OK with the pattern's stated controls</v>
      </c>
      <c r="L8" s="10"/>
    </row>
    <row r="9" customFormat="false" ht="23.85" hidden="false" customHeight="false" outlineLevel="0" collapsed="false">
      <c r="A9" s="14" t="s">
        <v>108</v>
      </c>
      <c r="B9" s="4" t="s">
        <v>109</v>
      </c>
      <c r="C9" s="5" t="s">
        <v>110</v>
      </c>
      <c r="D9" s="15" t="s">
        <v>100</v>
      </c>
      <c r="E9" s="5" t="str">
        <f aca="false">IF(Problem!$B$22="","",IFERROR(IF(INDEX('Pattern Ratings'!$P$5:$P$15,MATCH(Problem!$B$22,'Pattern Ratings'!$C$5:$C$15,0))&lt;=VALUE(RIGHT(Problem!$B$12,1)),"OK: floor typically fits","CHECK: floor typically needs B"&amp;INDEX('Pattern Ratings'!$P$5:$P$15,MATCH(Problem!$B$22,'Pattern Ratings'!$C$5:$C$15,0))&amp;" or above"),"Set budget band"))</f>
        <v>OK: floor typically fits</v>
      </c>
      <c r="F9" s="10"/>
      <c r="G9" s="15" t="s">
        <v>100</v>
      </c>
      <c r="H9" s="5" t="str">
        <f aca="false">IF(Problem!$B$23="","",IFERROR(IF(INDEX('Pattern Ratings'!$P$5:$P$15,MATCH(Problem!$B$23,'Pattern Ratings'!$C$5:$C$15,0))&lt;=VALUE(RIGHT(Problem!$B$12,1)),"OK: floor typically fits","CHECK: floor typically needs B"&amp;INDEX('Pattern Ratings'!$P$5:$P$15,MATCH(Problem!$B$23,'Pattern Ratings'!$C$5:$C$15,0))&amp;" or above"),"Set budget band"))</f>
        <v>OK: floor typically fits</v>
      </c>
      <c r="I9" s="10"/>
      <c r="J9" s="15" t="s">
        <v>100</v>
      </c>
      <c r="K9" s="5" t="str">
        <f aca="false">IF(Problem!$B$24="","",IFERROR(IF(INDEX('Pattern Ratings'!$P$5:$P$15,MATCH(Problem!$B$24,'Pattern Ratings'!$C$5:$C$15,0))&lt;=VALUE(RIGHT(Problem!$B$12,1)),"OK: floor typically fits","CHECK: floor typically needs B"&amp;INDEX('Pattern Ratings'!$P$5:$P$15,MATCH(Problem!$B$24,'Pattern Ratings'!$C$5:$C$15,0))&amp;" or above"),"Set budget band"))</f>
        <v>OK: floor typically fits</v>
      </c>
      <c r="L9" s="10"/>
    </row>
    <row r="10" customFormat="false" ht="23.85" hidden="false" customHeight="false" outlineLevel="0" collapsed="false">
      <c r="A10" s="14" t="s">
        <v>111</v>
      </c>
      <c r="B10" s="4" t="s">
        <v>112</v>
      </c>
      <c r="C10" s="5" t="s">
        <v>113</v>
      </c>
      <c r="D10" s="15" t="s">
        <v>100</v>
      </c>
      <c r="E10" s="5" t="str">
        <f aca="false">IF(Problem!$B$22="","","Manual assessment")</f>
        <v>Manual assessment</v>
      </c>
      <c r="F10" s="10"/>
      <c r="G10" s="15" t="s">
        <v>100</v>
      </c>
      <c r="H10" s="5" t="str">
        <f aca="false">IF(Problem!$B$23="","","Manual assessment")</f>
        <v>Manual assessment</v>
      </c>
      <c r="I10" s="10"/>
      <c r="J10" s="15" t="s">
        <v>100</v>
      </c>
      <c r="K10" s="5" t="str">
        <f aca="false">IF(Problem!$B$24="","","Manual assessment")</f>
        <v>Manual assessment</v>
      </c>
      <c r="L10" s="10"/>
    </row>
    <row r="11" customFormat="false" ht="23.85" hidden="false" customHeight="false" outlineLevel="0" collapsed="false">
      <c r="A11" s="14" t="s">
        <v>114</v>
      </c>
      <c r="B11" s="4" t="s">
        <v>115</v>
      </c>
      <c r="C11" s="5" t="s">
        <v>116</v>
      </c>
      <c r="D11" s="15" t="s">
        <v>100</v>
      </c>
      <c r="E11" s="5" t="str">
        <f aca="false">IF(Problem!$B$22="","",IFERROR(IF(INDEX('Pattern Ratings'!$Q$5:$Q$15,MATCH(Problem!$B$22,'Pattern Ratings'!$C$5:$C$15,0))&lt;=VALUE(RIGHT(Problem!$B$15,1)),"OK: within team capacity",IF(INDEX('Pattern Ratings'!$Q$5:$Q$15,MATCH(Problem!$B$22,'Pattern Ratings'!$C$5:$C$15,0))-VALUE(RIGHT(Problem!$B$15,1))=1,"CHECK: 1 level above; needs funded support","LIKELY FAIL: "&amp;(INDEX('Pattern Ratings'!$Q$5:$Q$15,MATCH(Problem!$B$22,'Pattern Ratings'!$C$5:$C$15,0))-VALUE(RIGHT(Problem!$B$15,1)))&amp;" levels above capacity")),"Set team capacity"))</f>
        <v>OK: within team capacity</v>
      </c>
      <c r="F11" s="10"/>
      <c r="G11" s="15" t="s">
        <v>100</v>
      </c>
      <c r="H11" s="5" t="str">
        <f aca="false">IF(Problem!$B$23="","",IFERROR(IF(INDEX('Pattern Ratings'!$Q$5:$Q$15,MATCH(Problem!$B$23,'Pattern Ratings'!$C$5:$C$15,0))&lt;=VALUE(RIGHT(Problem!$B$15,1)),"OK: within team capacity",IF(INDEX('Pattern Ratings'!$Q$5:$Q$15,MATCH(Problem!$B$23,'Pattern Ratings'!$C$5:$C$15,0))-VALUE(RIGHT(Problem!$B$15,1))=1,"CHECK: 1 level above; needs funded support","LIKELY FAIL: "&amp;(INDEX('Pattern Ratings'!$Q$5:$Q$15,MATCH(Problem!$B$23,'Pattern Ratings'!$C$5:$C$15,0))-VALUE(RIGHT(Problem!$B$15,1)))&amp;" levels above capacity")),"Set team capacity"))</f>
        <v>CHECK: 1 level above; needs funded support</v>
      </c>
      <c r="I11" s="10" t="s">
        <v>117</v>
      </c>
      <c r="J11" s="15" t="s">
        <v>118</v>
      </c>
      <c r="K11" s="5" t="str">
        <f aca="false">IF(Problem!$B$24="","",IFERROR(IF(INDEX('Pattern Ratings'!$Q$5:$Q$15,MATCH(Problem!$B$24,'Pattern Ratings'!$C$5:$C$15,0))&lt;=VALUE(RIGHT(Problem!$B$15,1)),"OK: within team capacity",IF(INDEX('Pattern Ratings'!$Q$5:$Q$15,MATCH(Problem!$B$24,'Pattern Ratings'!$C$5:$C$15,0))-VALUE(RIGHT(Problem!$B$15,1))=1,"CHECK: 1 level above; needs funded support","LIKELY FAIL: "&amp;(INDEX('Pattern Ratings'!$Q$5:$Q$15,MATCH(Problem!$B$24,'Pattern Ratings'!$C$5:$C$15,0))-VALUE(RIGHT(Problem!$B$15,1)))&amp;" levels above capacity")),"Set team capacity"))</f>
        <v>CHECK: 1 level above; needs funded support</v>
      </c>
      <c r="L11" s="10" t="s">
        <v>119</v>
      </c>
    </row>
    <row r="13" customFormat="false" ht="15" hidden="false" customHeight="false" outlineLevel="0" collapsed="false">
      <c r="C13" s="12" t="s">
        <v>120</v>
      </c>
      <c r="D13" s="16" t="str">
        <f aca="false">IF(COUNTIF(D5:D11,"FAIL")&gt;0,"ELIMINATED",IF(COUNTIF(D5:D11,"PASS")=7,"ALL PASS","INCOMPLETE"))</f>
        <v>ALL PASS</v>
      </c>
      <c r="E13" s="16"/>
      <c r="F13" s="16"/>
      <c r="G13" s="16" t="str">
        <f aca="false">IF(COUNTIF(G5:G11,"FAIL")&gt;0,"ELIMINATED",IF(COUNTIF(G5:G11,"PASS")=7,"ALL PASS","INCOMPLETE"))</f>
        <v>ALL PASS</v>
      </c>
      <c r="H13" s="16"/>
      <c r="I13" s="16"/>
      <c r="J13" s="16" t="str">
        <f aca="false">IF(COUNTIF(J5:J11,"FAIL")&gt;0,"ELIMINATED",IF(COUNTIF(J5:J11,"PASS")=7,"ALL PASS","INCOMPLETE"))</f>
        <v>ELIMINATED</v>
      </c>
      <c r="K13" s="16"/>
      <c r="L13" s="16"/>
    </row>
    <row r="14" customFormat="false" ht="15" hidden="false" customHeight="false" outlineLevel="0" collapsed="false">
      <c r="C14" s="12" t="s">
        <v>121</v>
      </c>
      <c r="D14" s="17" t="str">
        <f aca="false">IF(SUMPRODUCT((D5:D11="PASS")*((LEFT(E5:E11,6)="LIKELY")+(LEFT(E5:E11,4)="FAIL")))=0,"None",SUMPRODUCT((D5:D11="PASS")*((LEFT(E5:E11,6)="LIKELY")+(LEFT(E5:E11,4)="FAIL")))&amp;" – justify in Evidence")</f>
        <v>None</v>
      </c>
      <c r="E14" s="17"/>
      <c r="F14" s="17"/>
      <c r="G14" s="17" t="str">
        <f aca="false">IF(SUMPRODUCT((G5:G11="PASS")*((LEFT(H5:H11,6)="LIKELY")+(LEFT(H5:H11,4)="FAIL")))=0,"None",SUMPRODUCT((G5:G11="PASS")*((LEFT(H5:H11,6)="LIKELY")+(LEFT(H5:H11,4)="FAIL")))&amp;" – justify in Evidence")</f>
        <v>None</v>
      </c>
      <c r="H14" s="17"/>
      <c r="I14" s="17"/>
      <c r="J14" s="17" t="str">
        <f aca="false">IF(SUMPRODUCT((J5:J11="PASS")*((LEFT(K5:K11,6)="LIKELY")+(LEFT(K5:K11,4)="FAIL")))=0,"None",SUMPRODUCT((J5:J11="PASS")*((LEFT(K5:K11,6)="LIKELY")+(LEFT(K5:K11,4)="FAIL")))&amp;" – justify in Evidence")</f>
        <v>None</v>
      </c>
      <c r="K14" s="17"/>
      <c r="L14" s="17"/>
    </row>
  </sheetData>
  <mergeCells count="9">
    <mergeCell ref="D3:F3"/>
    <mergeCell ref="G3:I3"/>
    <mergeCell ref="J3:L3"/>
    <mergeCell ref="D13:F13"/>
    <mergeCell ref="G13:I13"/>
    <mergeCell ref="J13:L13"/>
    <mergeCell ref="D14:F14"/>
    <mergeCell ref="G14:I14"/>
    <mergeCell ref="J14:L14"/>
  </mergeCells>
  <conditionalFormatting sqref="D14">
    <cfRule type="expression" priority="2" aboveAverage="0" equalAverage="0" bottom="0" percent="0" rank="0" text="" dxfId="0">
      <formula>D14&lt;&gt;"None"</formula>
    </cfRule>
  </conditionalFormatting>
  <conditionalFormatting sqref="G14">
    <cfRule type="expression" priority="3" aboveAverage="0" equalAverage="0" bottom="0" percent="0" rank="0" text="" dxfId="0">
      <formula>G14&lt;&gt;"None"</formula>
    </cfRule>
  </conditionalFormatting>
  <conditionalFormatting sqref="J14">
    <cfRule type="expression" priority="4" aboveAverage="0" equalAverage="0" bottom="0" percent="0" rank="0" text="" dxfId="0">
      <formula>J14&lt;&gt;"None"</formula>
    </cfRule>
  </conditionalFormatting>
  <conditionalFormatting sqref="D5:L13">
    <cfRule type="cellIs" priority="5" operator="equal" aboveAverage="0" equalAverage="0" bottom="0" percent="0" rank="0" text="" dxfId="1">
      <formula>"FAIL"</formula>
    </cfRule>
    <cfRule type="cellIs" priority="6" operator="equal" aboveAverage="0" equalAverage="0" bottom="0" percent="0" rank="0" text="" dxfId="1">
      <formula>"ELIMINATED"</formula>
    </cfRule>
    <cfRule type="cellIs" priority="7" operator="equal" aboveAverage="0" equalAverage="0" bottom="0" percent="0" rank="0" text="" dxfId="2">
      <formula>"ALL PASS"</formula>
    </cfRule>
  </conditionalFormatting>
  <conditionalFormatting sqref="E5:E11">
    <cfRule type="expression" priority="8" aboveAverage="0" equalAverage="0" bottom="0" percent="0" rank="0" text="" dxfId="3">
      <formula>LEFT(E5,6)="LIKELY"</formula>
    </cfRule>
    <cfRule type="expression" priority="9" aboveAverage="0" equalAverage="0" bottom="0" percent="0" rank="0" text="" dxfId="3">
      <formula>LEFT(E5,4)="FAIL"</formula>
    </cfRule>
  </conditionalFormatting>
  <conditionalFormatting sqref="H5:H11">
    <cfRule type="expression" priority="10" aboveAverage="0" equalAverage="0" bottom="0" percent="0" rank="0" text="" dxfId="3">
      <formula>LEFT(H5,6)="LIKELY"</formula>
    </cfRule>
    <cfRule type="expression" priority="11" aboveAverage="0" equalAverage="0" bottom="0" percent="0" rank="0" text="" dxfId="3">
      <formula>LEFT(H5,4)="FAIL"</formula>
    </cfRule>
  </conditionalFormatting>
  <conditionalFormatting sqref="K5:K11">
    <cfRule type="expression" priority="12" aboveAverage="0" equalAverage="0" bottom="0" percent="0" rank="0" text="" dxfId="3">
      <formula>LEFT(K5,6)="LIKELY"</formula>
    </cfRule>
    <cfRule type="expression" priority="13" aboveAverage="0" equalAverage="0" bottom="0" percent="0" rank="0" text="" dxfId="3">
      <formula>LEFT(K5,4)="FAIL"</formula>
    </cfRule>
  </conditionalFormatting>
  <dataValidations count="1">
    <dataValidation allowBlank="true" errorStyle="stop" operator="between" showDropDown="false" showErrorMessage="false" showInputMessage="false" sqref="D5:D11 G5:G11 J5:J11" type="list">
      <formula1>"PASS,FAIL,PENDING"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8" t="s">
        <v>123</v>
      </c>
    </row>
    <row r="4" customFormat="false" ht="15" hidden="false" customHeight="false" outlineLevel="0" collapsed="false">
      <c r="A4" s="9" t="s">
        <v>124</v>
      </c>
      <c r="B4" s="9" t="s">
        <v>125</v>
      </c>
      <c r="C4" s="9" t="s">
        <v>46</v>
      </c>
      <c r="D4" s="9" t="s">
        <v>126</v>
      </c>
      <c r="E4" s="9" t="s">
        <v>127</v>
      </c>
      <c r="F4" s="9" t="s">
        <v>128</v>
      </c>
      <c r="G4" s="9" t="s">
        <v>129</v>
      </c>
      <c r="H4" s="9" t="s">
        <v>130</v>
      </c>
    </row>
    <row r="5" customFormat="false" ht="15" hidden="false" customHeight="false" outlineLevel="0" collapsed="false">
      <c r="A5" s="14" t="s">
        <v>131</v>
      </c>
      <c r="B5" s="5" t="s">
        <v>132</v>
      </c>
      <c r="C5" s="18" t="n">
        <v>15</v>
      </c>
      <c r="D5" s="18" t="n">
        <v>15</v>
      </c>
      <c r="E5" s="18" t="n">
        <v>15</v>
      </c>
      <c r="F5" s="18" t="n">
        <v>20</v>
      </c>
      <c r="G5" s="15"/>
      <c r="H5" s="14" t="n">
        <f aca="false">IFERROR(INDEX(C5:G5,MATCH(Problem!$B$8,$C$4:$G$4,0)),0)</f>
        <v>15</v>
      </c>
    </row>
    <row r="6" customFormat="false" ht="15" hidden="false" customHeight="false" outlineLevel="0" collapsed="false">
      <c r="A6" s="14" t="s">
        <v>133</v>
      </c>
      <c r="B6" s="5" t="s">
        <v>134</v>
      </c>
      <c r="C6" s="18" t="n">
        <v>10</v>
      </c>
      <c r="D6" s="18" t="n">
        <v>5</v>
      </c>
      <c r="E6" s="18" t="n">
        <v>20</v>
      </c>
      <c r="F6" s="18" t="n">
        <v>5</v>
      </c>
      <c r="G6" s="15"/>
      <c r="H6" s="14" t="n">
        <f aca="false">IFERROR(INDEX(C6:G6,MATCH(Problem!$B$8,$C$4:$G$4,0)),0)</f>
        <v>10</v>
      </c>
    </row>
    <row r="7" customFormat="false" ht="15" hidden="false" customHeight="false" outlineLevel="0" collapsed="false">
      <c r="A7" s="14" t="s">
        <v>135</v>
      </c>
      <c r="B7" s="5" t="s">
        <v>136</v>
      </c>
      <c r="C7" s="18" t="n">
        <v>10</v>
      </c>
      <c r="D7" s="18" t="n">
        <v>5</v>
      </c>
      <c r="E7" s="18" t="n">
        <v>5</v>
      </c>
      <c r="F7" s="18" t="n">
        <v>15</v>
      </c>
      <c r="G7" s="15"/>
      <c r="H7" s="14" t="n">
        <f aca="false">IFERROR(INDEX(C7:G7,MATCH(Problem!$B$8,$C$4:$G$4,0)),0)</f>
        <v>10</v>
      </c>
    </row>
    <row r="8" customFormat="false" ht="15" hidden="false" customHeight="false" outlineLevel="0" collapsed="false">
      <c r="A8" s="14" t="s">
        <v>137</v>
      </c>
      <c r="B8" s="5" t="s">
        <v>138</v>
      </c>
      <c r="C8" s="18" t="n">
        <v>10</v>
      </c>
      <c r="D8" s="18" t="n">
        <v>5</v>
      </c>
      <c r="E8" s="18" t="n">
        <v>20</v>
      </c>
      <c r="F8" s="18" t="n">
        <v>0</v>
      </c>
      <c r="G8" s="15"/>
      <c r="H8" s="14" t="n">
        <f aca="false">IFERROR(INDEX(C8:G8,MATCH(Problem!$B$8,$C$4:$G$4,0)),0)</f>
        <v>10</v>
      </c>
    </row>
    <row r="9" customFormat="false" ht="15" hidden="false" customHeight="false" outlineLevel="0" collapsed="false">
      <c r="A9" s="14" t="s">
        <v>139</v>
      </c>
      <c r="B9" s="5" t="s">
        <v>140</v>
      </c>
      <c r="C9" s="18" t="n">
        <v>10</v>
      </c>
      <c r="D9" s="18" t="n">
        <v>10</v>
      </c>
      <c r="E9" s="18" t="n">
        <v>5</v>
      </c>
      <c r="F9" s="18" t="n">
        <v>15</v>
      </c>
      <c r="G9" s="15"/>
      <c r="H9" s="14" t="n">
        <f aca="false">IFERROR(INDEX(C9:G9,MATCH(Problem!$B$8,$C$4:$G$4,0)),0)</f>
        <v>10</v>
      </c>
    </row>
    <row r="10" customFormat="false" ht="15" hidden="false" customHeight="false" outlineLevel="0" collapsed="false">
      <c r="A10" s="14" t="s">
        <v>141</v>
      </c>
      <c r="B10" s="5" t="s">
        <v>142</v>
      </c>
      <c r="C10" s="18" t="n">
        <v>10</v>
      </c>
      <c r="D10" s="18" t="n">
        <v>15</v>
      </c>
      <c r="E10" s="18" t="n">
        <v>10</v>
      </c>
      <c r="F10" s="18" t="n">
        <v>10</v>
      </c>
      <c r="G10" s="15"/>
      <c r="H10" s="14" t="n">
        <f aca="false">IFERROR(INDEX(C10:G10,MATCH(Problem!$B$8,$C$4:$G$4,0)),0)</f>
        <v>10</v>
      </c>
    </row>
    <row r="11" customFormat="false" ht="15" hidden="false" customHeight="false" outlineLevel="0" collapsed="false">
      <c r="A11" s="14" t="s">
        <v>143</v>
      </c>
      <c r="B11" s="5" t="s">
        <v>144</v>
      </c>
      <c r="C11" s="18" t="n">
        <v>10</v>
      </c>
      <c r="D11" s="18" t="n">
        <v>20</v>
      </c>
      <c r="E11" s="18" t="n">
        <v>5</v>
      </c>
      <c r="F11" s="18" t="n">
        <v>0</v>
      </c>
      <c r="G11" s="15"/>
      <c r="H11" s="14" t="n">
        <f aca="false">IFERROR(INDEX(C11:G11,MATCH(Problem!$B$8,$C$4:$G$4,0)),0)</f>
        <v>10</v>
      </c>
    </row>
    <row r="12" customFormat="false" ht="15" hidden="false" customHeight="false" outlineLevel="0" collapsed="false">
      <c r="A12" s="14" t="s">
        <v>145</v>
      </c>
      <c r="B12" s="5" t="s">
        <v>146</v>
      </c>
      <c r="C12" s="18" t="n">
        <v>5</v>
      </c>
      <c r="D12" s="18" t="n">
        <v>5</v>
      </c>
      <c r="E12" s="18" t="n">
        <v>5</v>
      </c>
      <c r="F12" s="18" t="n">
        <v>5</v>
      </c>
      <c r="G12" s="15"/>
      <c r="H12" s="14" t="n">
        <f aca="false">IFERROR(INDEX(C12:G12,MATCH(Problem!$B$8,$C$4:$G$4,0)),0)</f>
        <v>5</v>
      </c>
    </row>
    <row r="13" customFormat="false" ht="15" hidden="false" customHeight="false" outlineLevel="0" collapsed="false">
      <c r="A13" s="14" t="s">
        <v>147</v>
      </c>
      <c r="B13" s="5" t="s">
        <v>148</v>
      </c>
      <c r="C13" s="18" t="n">
        <v>5</v>
      </c>
      <c r="D13" s="18" t="n">
        <v>5</v>
      </c>
      <c r="E13" s="18" t="n">
        <v>10</v>
      </c>
      <c r="F13" s="18" t="n">
        <v>0</v>
      </c>
      <c r="G13" s="15"/>
      <c r="H13" s="14" t="n">
        <f aca="false">IFERROR(INDEX(C13:G13,MATCH(Problem!$B$8,$C$4:$G$4,0)),0)</f>
        <v>5</v>
      </c>
    </row>
    <row r="14" customFormat="false" ht="15" hidden="false" customHeight="false" outlineLevel="0" collapsed="false">
      <c r="A14" s="14" t="s">
        <v>149</v>
      </c>
      <c r="B14" s="5" t="s">
        <v>150</v>
      </c>
      <c r="C14" s="18" t="n">
        <v>5</v>
      </c>
      <c r="D14" s="18" t="n">
        <v>10</v>
      </c>
      <c r="E14" s="18" t="n">
        <v>0</v>
      </c>
      <c r="F14" s="18" t="n">
        <v>0</v>
      </c>
      <c r="G14" s="15"/>
      <c r="H14" s="14" t="n">
        <f aca="false">IFERROR(INDEX(C14:G14,MATCH(Problem!$B$8,$C$4:$G$4,0)),0)</f>
        <v>5</v>
      </c>
    </row>
    <row r="15" customFormat="false" ht="15" hidden="false" customHeight="false" outlineLevel="0" collapsed="false">
      <c r="A15" s="14" t="s">
        <v>151</v>
      </c>
      <c r="B15" s="5" t="s">
        <v>152</v>
      </c>
      <c r="C15" s="18" t="n">
        <v>5</v>
      </c>
      <c r="D15" s="18" t="n">
        <v>0</v>
      </c>
      <c r="E15" s="18" t="n">
        <v>0</v>
      </c>
      <c r="F15" s="18" t="n">
        <v>25</v>
      </c>
      <c r="G15" s="15"/>
      <c r="H15" s="14" t="n">
        <f aca="false">IFERROR(INDEX(C15:G15,MATCH(Problem!$B$8,$C$4:$G$4,0)),0)</f>
        <v>5</v>
      </c>
    </row>
    <row r="16" customFormat="false" ht="15" hidden="false" customHeight="false" outlineLevel="0" collapsed="false">
      <c r="A16" s="14" t="s">
        <v>153</v>
      </c>
      <c r="B16" s="5" t="s">
        <v>154</v>
      </c>
      <c r="C16" s="18" t="n">
        <v>5</v>
      </c>
      <c r="D16" s="18" t="n">
        <v>5</v>
      </c>
      <c r="E16" s="18" t="n">
        <v>5</v>
      </c>
      <c r="F16" s="18" t="n">
        <v>5</v>
      </c>
      <c r="G16" s="15"/>
      <c r="H16" s="14" t="n">
        <f aca="false">IFERROR(INDEX(C16:G16,MATCH(Problem!$B$8,$C$4:$G$4,0)),0)</f>
        <v>5</v>
      </c>
    </row>
    <row r="17" customFormat="false" ht="15" hidden="false" customHeight="false" outlineLevel="0" collapsed="false">
      <c r="B17" s="12" t="s">
        <v>155</v>
      </c>
      <c r="C17" s="14" t="n">
        <f aca="false">SUM(C5:C16)</f>
        <v>100</v>
      </c>
      <c r="D17" s="14" t="n">
        <f aca="false">SUM(D5:D16)</f>
        <v>100</v>
      </c>
      <c r="E17" s="14" t="n">
        <f aca="false">SUM(E5:E16)</f>
        <v>100</v>
      </c>
      <c r="F17" s="14" t="n">
        <f aca="false">SUM(F5:F16)</f>
        <v>100</v>
      </c>
      <c r="G17" s="14" t="n">
        <f aca="false">SUM(G5:G16)</f>
        <v>0</v>
      </c>
      <c r="H17" s="14" t="n">
        <f aca="false">SUM(H5:H16)</f>
        <v>100</v>
      </c>
    </row>
    <row r="18" customFormat="false" ht="15" hidden="false" customHeight="false" outlineLevel="0" collapsed="false">
      <c r="B18" s="4" t="s">
        <v>156</v>
      </c>
      <c r="H18" s="14" t="str">
        <f aca="false">IF(H17=100,"OK","Weights total "&amp;H17&amp;", must be 100")</f>
        <v>OK</v>
      </c>
    </row>
    <row r="20" customFormat="false" ht="15" hidden="false" customHeight="false" outlineLevel="0" collapsed="false">
      <c r="B20" s="4" t="s">
        <v>157</v>
      </c>
      <c r="C20" s="19"/>
      <c r="D20" s="19"/>
      <c r="E20" s="19"/>
      <c r="F20" s="19"/>
      <c r="G20" s="19"/>
      <c r="H20" s="19"/>
    </row>
  </sheetData>
  <mergeCells count="1">
    <mergeCell ref="C20:H20"/>
  </mergeCells>
  <conditionalFormatting sqref="H18">
    <cfRule type="cellIs" priority="2" operator="notEqual" aboveAverage="0" equalAverage="0" bottom="0" percent="0" rank="0" text="" dxfId="1">
      <formula>"OK"</formula>
    </cfRule>
  </conditionalFormatting>
  <dataValidations count="1">
    <dataValidation allowBlank="true" errorStyle="stop" operator="between" showDropDown="false" showErrorMessage="false" showInputMessage="false" sqref="G5:G16" type="whole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5" min="3" style="0" width="24"/>
    <col collapsed="false" customWidth="true" hidden="false" outlineLevel="0" max="7" min="6" style="0" width="8"/>
    <col collapsed="false" customWidth="true" hidden="false" outlineLevel="0" max="8" min="8" style="0" width="30"/>
    <col collapsed="false" customWidth="true" hidden="false" outlineLevel="0" max="9" min="9" style="0" width="8"/>
    <col collapsed="false" customWidth="true" hidden="false" outlineLevel="0" max="10" min="10" style="0" width="30"/>
    <col collapsed="false" customWidth="true" hidden="false" outlineLevel="0" max="11" min="11" style="0" width="8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158</v>
      </c>
    </row>
    <row r="2" customFormat="false" ht="15" hidden="false" customHeight="false" outlineLevel="0" collapsed="false">
      <c r="A2" s="8" t="s">
        <v>159</v>
      </c>
    </row>
    <row r="4" customFormat="false" ht="15" hidden="false" customHeight="false" outlineLevel="0" collapsed="false">
      <c r="G4" s="13" t="str">
        <f aca="false">IF(Problem!$B$22="","Candidate A",Problem!$B$22)</f>
        <v>P04 Managed RAG (Bedrock Knowledge Bases)</v>
      </c>
      <c r="H4" s="13"/>
      <c r="I4" s="13" t="str">
        <f aca="false">IF(Problem!$B$23="","Candidate B",Problem!$B$23)</f>
        <v>P06 Knowledge graph RAG with Neo4j</v>
      </c>
      <c r="J4" s="13"/>
      <c r="K4" s="13" t="str">
        <f aca="false">IF(Problem!$B$24="","Candidate C",Problem!$B$24)</f>
        <v>P08 Tool-using agent (bounded autonomy)</v>
      </c>
      <c r="L4" s="13"/>
    </row>
    <row r="5" customFormat="false" ht="15" hidden="false" customHeight="false" outlineLevel="0" collapsed="false">
      <c r="A5" s="9" t="s">
        <v>124</v>
      </c>
      <c r="B5" s="9" t="s">
        <v>125</v>
      </c>
      <c r="C5" s="9" t="s">
        <v>160</v>
      </c>
      <c r="D5" s="9" t="s">
        <v>161</v>
      </c>
      <c r="E5" s="9" t="s">
        <v>162</v>
      </c>
      <c r="F5" s="9" t="s">
        <v>163</v>
      </c>
      <c r="G5" s="9" t="s">
        <v>164</v>
      </c>
      <c r="H5" s="9" t="s">
        <v>96</v>
      </c>
      <c r="I5" s="9" t="s">
        <v>164</v>
      </c>
      <c r="J5" s="9" t="s">
        <v>96</v>
      </c>
      <c r="K5" s="9" t="s">
        <v>164</v>
      </c>
      <c r="L5" s="9" t="s">
        <v>96</v>
      </c>
    </row>
    <row r="6" customFormat="false" ht="23.85" hidden="false" customHeight="false" outlineLevel="0" collapsed="false">
      <c r="A6" s="14" t="s">
        <v>131</v>
      </c>
      <c r="B6" s="4" t="s">
        <v>132</v>
      </c>
      <c r="C6" s="5" t="s">
        <v>165</v>
      </c>
      <c r="D6" s="5" t="s">
        <v>166</v>
      </c>
      <c r="E6" s="5" t="s">
        <v>167</v>
      </c>
      <c r="F6" s="20" t="n">
        <f aca="false">Weights!H5</f>
        <v>15</v>
      </c>
      <c r="G6" s="15" t="n">
        <v>2</v>
      </c>
      <c r="H6" s="10" t="s">
        <v>168</v>
      </c>
      <c r="I6" s="15" t="n">
        <v>5</v>
      </c>
      <c r="J6" s="10" t="s">
        <v>169</v>
      </c>
      <c r="K6" s="15"/>
      <c r="L6" s="10"/>
    </row>
    <row r="7" customFormat="false" ht="23.85" hidden="false" customHeight="false" outlineLevel="0" collapsed="false">
      <c r="A7" s="14" t="s">
        <v>133</v>
      </c>
      <c r="B7" s="4" t="s">
        <v>134</v>
      </c>
      <c r="C7" s="5" t="s">
        <v>170</v>
      </c>
      <c r="D7" s="5" t="s">
        <v>171</v>
      </c>
      <c r="E7" s="5" t="s">
        <v>172</v>
      </c>
      <c r="F7" s="20" t="n">
        <f aca="false">Weights!H6</f>
        <v>10</v>
      </c>
      <c r="G7" s="15" t="n">
        <v>5</v>
      </c>
      <c r="H7" s="10" t="s">
        <v>173</v>
      </c>
      <c r="I7" s="15" t="n">
        <v>3</v>
      </c>
      <c r="J7" s="10" t="s">
        <v>174</v>
      </c>
      <c r="K7" s="15"/>
      <c r="L7" s="10"/>
    </row>
    <row r="8" customFormat="false" ht="23.85" hidden="false" customHeight="false" outlineLevel="0" collapsed="false">
      <c r="A8" s="14" t="s">
        <v>135</v>
      </c>
      <c r="B8" s="4" t="s">
        <v>136</v>
      </c>
      <c r="C8" s="5" t="s">
        <v>175</v>
      </c>
      <c r="D8" s="5" t="s">
        <v>176</v>
      </c>
      <c r="E8" s="5" t="s">
        <v>177</v>
      </c>
      <c r="F8" s="20" t="n">
        <f aca="false">Weights!H7</f>
        <v>10</v>
      </c>
      <c r="G8" s="15" t="n">
        <v>4</v>
      </c>
      <c r="H8" s="10" t="s">
        <v>178</v>
      </c>
      <c r="I8" s="15" t="n">
        <v>2</v>
      </c>
      <c r="J8" s="10" t="s">
        <v>179</v>
      </c>
      <c r="K8" s="15"/>
      <c r="L8" s="10"/>
    </row>
    <row r="9" customFormat="false" ht="23.85" hidden="false" customHeight="false" outlineLevel="0" collapsed="false">
      <c r="A9" s="14" t="s">
        <v>137</v>
      </c>
      <c r="B9" s="4" t="s">
        <v>138</v>
      </c>
      <c r="C9" s="5" t="s">
        <v>180</v>
      </c>
      <c r="D9" s="5" t="s">
        <v>181</v>
      </c>
      <c r="E9" s="5" t="s">
        <v>182</v>
      </c>
      <c r="F9" s="20" t="n">
        <f aca="false">Weights!H8</f>
        <v>10</v>
      </c>
      <c r="G9" s="15" t="n">
        <v>4</v>
      </c>
      <c r="H9" s="10" t="s">
        <v>183</v>
      </c>
      <c r="I9" s="15" t="n">
        <v>3</v>
      </c>
      <c r="J9" s="10" t="s">
        <v>184</v>
      </c>
      <c r="K9" s="15"/>
      <c r="L9" s="10"/>
    </row>
    <row r="10" customFormat="false" ht="23.85" hidden="false" customHeight="false" outlineLevel="0" collapsed="false">
      <c r="A10" s="14" t="s">
        <v>139</v>
      </c>
      <c r="B10" s="4" t="s">
        <v>140</v>
      </c>
      <c r="C10" s="5" t="s">
        <v>185</v>
      </c>
      <c r="D10" s="5" t="s">
        <v>186</v>
      </c>
      <c r="E10" s="5" t="s">
        <v>187</v>
      </c>
      <c r="F10" s="20" t="n">
        <f aca="false">Weights!H9</f>
        <v>10</v>
      </c>
      <c r="G10" s="15" t="n">
        <v>3</v>
      </c>
      <c r="H10" s="10" t="s">
        <v>188</v>
      </c>
      <c r="I10" s="15" t="n">
        <v>3</v>
      </c>
      <c r="J10" s="10" t="s">
        <v>189</v>
      </c>
      <c r="K10" s="15"/>
      <c r="L10" s="10"/>
    </row>
    <row r="11" customFormat="false" ht="23.85" hidden="false" customHeight="false" outlineLevel="0" collapsed="false">
      <c r="A11" s="14" t="s">
        <v>141</v>
      </c>
      <c r="B11" s="4" t="s">
        <v>142</v>
      </c>
      <c r="C11" s="5" t="s">
        <v>190</v>
      </c>
      <c r="D11" s="5" t="s">
        <v>191</v>
      </c>
      <c r="E11" s="5" t="s">
        <v>192</v>
      </c>
      <c r="F11" s="20" t="n">
        <f aca="false">Weights!H10</f>
        <v>10</v>
      </c>
      <c r="G11" s="15" t="n">
        <v>4</v>
      </c>
      <c r="H11" s="10" t="s">
        <v>193</v>
      </c>
      <c r="I11" s="15" t="n">
        <v>3</v>
      </c>
      <c r="J11" s="10" t="s">
        <v>194</v>
      </c>
      <c r="K11" s="15"/>
      <c r="L11" s="10"/>
    </row>
    <row r="12" customFormat="false" ht="23.85" hidden="false" customHeight="false" outlineLevel="0" collapsed="false">
      <c r="A12" s="14" t="s">
        <v>143</v>
      </c>
      <c r="B12" s="4" t="s">
        <v>144</v>
      </c>
      <c r="C12" s="5" t="s">
        <v>195</v>
      </c>
      <c r="D12" s="5" t="s">
        <v>196</v>
      </c>
      <c r="E12" s="5" t="s">
        <v>197</v>
      </c>
      <c r="F12" s="20" t="n">
        <f aca="false">Weights!H11</f>
        <v>10</v>
      </c>
      <c r="G12" s="15" t="n">
        <v>3</v>
      </c>
      <c r="H12" s="10" t="s">
        <v>198</v>
      </c>
      <c r="I12" s="15" t="n">
        <v>5</v>
      </c>
      <c r="J12" s="10" t="s">
        <v>199</v>
      </c>
      <c r="K12" s="15"/>
      <c r="L12" s="10"/>
    </row>
    <row r="13" customFormat="false" ht="15" hidden="false" customHeight="false" outlineLevel="0" collapsed="false">
      <c r="A13" s="14" t="s">
        <v>145</v>
      </c>
      <c r="B13" s="4" t="s">
        <v>146</v>
      </c>
      <c r="C13" s="5" t="s">
        <v>200</v>
      </c>
      <c r="D13" s="5" t="s">
        <v>201</v>
      </c>
      <c r="E13" s="5" t="s">
        <v>202</v>
      </c>
      <c r="F13" s="20" t="n">
        <f aca="false">Weights!H12</f>
        <v>5</v>
      </c>
      <c r="G13" s="15" t="n">
        <v>4</v>
      </c>
      <c r="H13" s="10" t="s">
        <v>203</v>
      </c>
      <c r="I13" s="15" t="n">
        <v>2</v>
      </c>
      <c r="J13" s="10" t="s">
        <v>204</v>
      </c>
      <c r="K13" s="15"/>
      <c r="L13" s="10"/>
    </row>
    <row r="14" customFormat="false" ht="23.85" hidden="false" customHeight="false" outlineLevel="0" collapsed="false">
      <c r="A14" s="14" t="s">
        <v>147</v>
      </c>
      <c r="B14" s="4" t="s">
        <v>148</v>
      </c>
      <c r="C14" s="5" t="s">
        <v>205</v>
      </c>
      <c r="D14" s="5" t="s">
        <v>206</v>
      </c>
      <c r="E14" s="5" t="s">
        <v>207</v>
      </c>
      <c r="F14" s="20" t="n">
        <f aca="false">Weights!H13</f>
        <v>5</v>
      </c>
      <c r="G14" s="15" t="n">
        <v>4</v>
      </c>
      <c r="H14" s="10" t="s">
        <v>208</v>
      </c>
      <c r="I14" s="15" t="n">
        <v>3</v>
      </c>
      <c r="J14" s="10" t="s">
        <v>209</v>
      </c>
      <c r="K14" s="15"/>
      <c r="L14" s="10"/>
    </row>
    <row r="15" customFormat="false" ht="23.85" hidden="false" customHeight="false" outlineLevel="0" collapsed="false">
      <c r="A15" s="14" t="s">
        <v>149</v>
      </c>
      <c r="B15" s="4" t="s">
        <v>150</v>
      </c>
      <c r="C15" s="5" t="s">
        <v>210</v>
      </c>
      <c r="D15" s="5" t="s">
        <v>211</v>
      </c>
      <c r="E15" s="5" t="s">
        <v>212</v>
      </c>
      <c r="F15" s="20" t="n">
        <f aca="false">Weights!H14</f>
        <v>5</v>
      </c>
      <c r="G15" s="15" t="n">
        <v>5</v>
      </c>
      <c r="H15" s="10" t="s">
        <v>213</v>
      </c>
      <c r="I15" s="15" t="n">
        <v>3</v>
      </c>
      <c r="J15" s="10" t="s">
        <v>214</v>
      </c>
      <c r="K15" s="15"/>
      <c r="L15" s="10"/>
    </row>
    <row r="16" customFormat="false" ht="15" hidden="false" customHeight="false" outlineLevel="0" collapsed="false">
      <c r="A16" s="14" t="s">
        <v>151</v>
      </c>
      <c r="B16" s="4" t="s">
        <v>152</v>
      </c>
      <c r="C16" s="5" t="s">
        <v>215</v>
      </c>
      <c r="D16" s="5" t="s">
        <v>216</v>
      </c>
      <c r="E16" s="5" t="s">
        <v>217</v>
      </c>
      <c r="F16" s="20" t="n">
        <f aca="false">Weights!H15</f>
        <v>5</v>
      </c>
      <c r="G16" s="15" t="n">
        <v>5</v>
      </c>
      <c r="H16" s="10" t="s">
        <v>218</v>
      </c>
      <c r="I16" s="15" t="n">
        <v>2</v>
      </c>
      <c r="J16" s="10" t="s">
        <v>219</v>
      </c>
      <c r="K16" s="15"/>
      <c r="L16" s="10"/>
    </row>
    <row r="17" customFormat="false" ht="23.85" hidden="false" customHeight="false" outlineLevel="0" collapsed="false">
      <c r="A17" s="14" t="s">
        <v>153</v>
      </c>
      <c r="B17" s="4" t="s">
        <v>154</v>
      </c>
      <c r="C17" s="5" t="s">
        <v>220</v>
      </c>
      <c r="D17" s="5" t="s">
        <v>221</v>
      </c>
      <c r="E17" s="5" t="s">
        <v>222</v>
      </c>
      <c r="F17" s="20" t="n">
        <f aca="false">Weights!H16</f>
        <v>5</v>
      </c>
      <c r="G17" s="15" t="n">
        <v>3</v>
      </c>
      <c r="H17" s="10" t="s">
        <v>223</v>
      </c>
      <c r="I17" s="15" t="n">
        <v>4</v>
      </c>
      <c r="J17" s="10" t="s">
        <v>224</v>
      </c>
      <c r="K17" s="15"/>
      <c r="L17" s="10"/>
    </row>
    <row r="18" customFormat="false" ht="15" hidden="false" customHeight="false" outlineLevel="0" collapsed="false">
      <c r="E18" s="12" t="s">
        <v>225</v>
      </c>
      <c r="F18" s="14" t="n">
        <f aca="false">SUM(F6:F17)</f>
        <v>100</v>
      </c>
    </row>
    <row r="19" customFormat="false" ht="15" hidden="false" customHeight="false" outlineLevel="0" collapsed="false">
      <c r="A19" s="21" t="s">
        <v>226</v>
      </c>
    </row>
    <row r="20" customFormat="false" ht="15" hidden="false" customHeight="true" outlineLevel="0" collapsed="false">
      <c r="B20" s="22" t="s">
        <v>227</v>
      </c>
      <c r="C20" s="22"/>
      <c r="D20" s="22"/>
      <c r="E20" s="22"/>
      <c r="F20" s="22"/>
      <c r="G20" s="23" t="n">
        <f aca="false">IF(COUNT(G6:G17)=0,"",SUMPRODUCT($F$6:$F$17,G6:G17)/5)</f>
        <v>73</v>
      </c>
      <c r="H20" s="23"/>
      <c r="I20" s="23" t="n">
        <f aca="false">IF(COUNT(I6:I17)=0,"",SUMPRODUCT($F$6:$F$17,I6:I17)/5)</f>
        <v>67</v>
      </c>
      <c r="J20" s="23"/>
      <c r="K20" s="23" t="str">
        <f aca="false">IF(COUNT(K6:K17)=0,"",SUMPRODUCT($F$6:$F$17,K6:K17)/5)</f>
        <v/>
      </c>
      <c r="L20" s="23"/>
    </row>
    <row r="21" customFormat="false" ht="15" hidden="false" customHeight="true" outlineLevel="0" collapsed="false">
      <c r="B21" s="22" t="s">
        <v>228</v>
      </c>
      <c r="C21" s="22"/>
      <c r="D21" s="22"/>
      <c r="E21" s="22"/>
      <c r="F21" s="22"/>
      <c r="G21" s="17" t="str">
        <f aca="false">COUNT(G6:G17)&amp;" / 12"</f>
        <v>12 / 12</v>
      </c>
      <c r="H21" s="17"/>
      <c r="I21" s="17" t="str">
        <f aca="false">COUNT(I6:I17)&amp;" / 12"</f>
        <v>12 / 12</v>
      </c>
      <c r="J21" s="17"/>
      <c r="K21" s="17" t="str">
        <f aca="false">COUNT(K6:K17)&amp;" / 12"</f>
        <v>0 / 12</v>
      </c>
      <c r="L21" s="17"/>
    </row>
    <row r="22" customFormat="false" ht="15" hidden="false" customHeight="true" outlineLevel="0" collapsed="false">
      <c r="B22" s="22" t="s">
        <v>120</v>
      </c>
      <c r="C22" s="22"/>
      <c r="D22" s="22"/>
      <c r="E22" s="22"/>
      <c r="F22" s="22"/>
      <c r="G22" s="13" t="str">
        <f aca="false">Gates!D13</f>
        <v>ALL PASS</v>
      </c>
      <c r="H22" s="13"/>
      <c r="I22" s="13" t="str">
        <f aca="false">Gates!G13</f>
        <v>ALL PASS</v>
      </c>
      <c r="J22" s="13"/>
      <c r="K22" s="13" t="str">
        <f aca="false">Gates!J13</f>
        <v>ELIMINATED</v>
      </c>
      <c r="L22" s="13"/>
    </row>
    <row r="23" customFormat="false" ht="15" hidden="false" customHeight="true" outlineLevel="0" collapsed="false">
      <c r="B23" s="22" t="s">
        <v>229</v>
      </c>
      <c r="C23" s="22"/>
      <c r="D23" s="22"/>
      <c r="E23" s="22"/>
      <c r="F23" s="22"/>
      <c r="G23" s="17" t="str">
        <f aca="false">IF(G6="","",IF(G6&lt;=2,"YES: bake-off must meet quality target","No"))</f>
        <v>YES: bake-off must meet quality target</v>
      </c>
      <c r="H23" s="17"/>
      <c r="I23" s="17" t="str">
        <f aca="false">IF(I6="","",IF(I6&lt;=2,"YES: bake-off must meet quality target","No"))</f>
        <v>No</v>
      </c>
      <c r="J23" s="17"/>
      <c r="K23" s="17" t="str">
        <f aca="false">IF(K6="","",IF(K6&lt;=2,"YES: bake-off must meet quality target","No"))</f>
        <v/>
      </c>
      <c r="L23" s="17"/>
    </row>
    <row r="24" customFormat="false" ht="15" hidden="false" customHeight="true" outlineLevel="0" collapsed="false">
      <c r="B24" s="22" t="s">
        <v>230</v>
      </c>
      <c r="C24" s="22"/>
      <c r="D24" s="22"/>
      <c r="E24" s="22"/>
      <c r="F24" s="22"/>
      <c r="G24" s="17" t="n">
        <f aca="false">SUMPRODUCT((G6:G17=1)*($F$6:$F$17&gt;=10))</f>
        <v>0</v>
      </c>
      <c r="H24" s="17"/>
      <c r="I24" s="17" t="n">
        <f aca="false">SUMPRODUCT((I6:I17=1)*($F$6:$F$17&gt;=10))</f>
        <v>0</v>
      </c>
      <c r="J24" s="17"/>
      <c r="K24" s="17" t="n">
        <f aca="false">SUMPRODUCT((K6:K17=1)*($F$6:$F$17&gt;=10))</f>
        <v>0</v>
      </c>
      <c r="L24" s="17"/>
    </row>
    <row r="25" customFormat="false" ht="15" hidden="false" customHeight="true" outlineLevel="0" collapsed="false">
      <c r="B25" s="22" t="s">
        <v>231</v>
      </c>
      <c r="C25" s="22"/>
      <c r="D25" s="22"/>
      <c r="E25" s="22"/>
      <c r="F25" s="22"/>
      <c r="G25" s="17" t="str">
        <f aca="false">IF(G20="","",IF(G20&gt;=75,"Strong fit",IF(G20&gt;=60,"Acceptable: record mitigations","Poor fit")))</f>
        <v>Acceptable: record mitigations</v>
      </c>
      <c r="H25" s="17"/>
      <c r="I25" s="17" t="str">
        <f aca="false">IF(I20="","",IF(I20&gt;=75,"Strong fit",IF(I20&gt;=60,"Acceptable: record mitigations","Poor fit")))</f>
        <v>Acceptable: record mitigations</v>
      </c>
      <c r="J25" s="17"/>
      <c r="K25" s="17" t="str">
        <f aca="false">IF(K20="","",IF(K20&gt;=75,"Strong fit",IF(K20&gt;=60,"Acceptable: record mitigations","Poor fit")))</f>
        <v/>
      </c>
      <c r="L25" s="17"/>
    </row>
    <row r="26" customFormat="false" ht="15" hidden="false" customHeight="true" outlineLevel="0" collapsed="false">
      <c r="B26" s="22" t="s">
        <v>232</v>
      </c>
      <c r="C26" s="22"/>
      <c r="D26" s="22"/>
      <c r="E26" s="22"/>
      <c r="F26" s="22"/>
      <c r="G26" s="24" t="n">
        <f aca="false">IF(AND(Problem!$B$22&lt;&gt;"",G22&lt;&gt;"ELIMINATED",COUNT(G6:G17)=12),G20,"")</f>
        <v>73</v>
      </c>
      <c r="H26" s="24"/>
      <c r="I26" s="24" t="n">
        <f aca="false">IF(AND(Problem!$B$23&lt;&gt;"",I22&lt;&gt;"ELIMINATED",COUNT(I6:I17)=12),I20,"")</f>
        <v>67</v>
      </c>
      <c r="J26" s="24"/>
      <c r="K26" s="24" t="str">
        <f aca="false">IF(AND(Problem!$B$24&lt;&gt;"",K22&lt;&gt;"ELIMINATED",COUNT(K6:K17)=12),K20,"")</f>
        <v/>
      </c>
      <c r="L26" s="24"/>
    </row>
    <row r="27" customFormat="false" ht="15" hidden="false" customHeight="true" outlineLevel="0" collapsed="false">
      <c r="B27" s="22" t="s">
        <v>233</v>
      </c>
      <c r="C27" s="22"/>
      <c r="D27" s="22"/>
      <c r="E27" s="22"/>
      <c r="F27" s="22"/>
      <c r="G27" s="17" t="n">
        <f aca="false">IF(G26="","",RANK(G26,$G$26:$K$26))</f>
        <v>1</v>
      </c>
      <c r="H27" s="17"/>
      <c r="I27" s="17" t="n">
        <f aca="false">IF(I26="","",RANK(I26,$G$26:$K$26))</f>
        <v>2</v>
      </c>
      <c r="J27" s="17"/>
      <c r="K27" s="17" t="str">
        <f aca="false">IF(K26="","",RANK(K26,$G$26:$K$26))</f>
        <v/>
      </c>
      <c r="L27" s="17"/>
    </row>
    <row r="28" customFormat="false" ht="15" hidden="false" customHeight="true" outlineLevel="0" collapsed="false">
      <c r="B28" s="22" t="s">
        <v>234</v>
      </c>
      <c r="C28" s="22"/>
      <c r="D28" s="22"/>
      <c r="E28" s="22"/>
      <c r="F28" s="22"/>
      <c r="G28" s="17" t="str">
        <f aca="false">IF(OR(G26="",COUNT($G$26:$K$26)&lt;2),"",IF(G27&gt;2,"",IF(LARGE($G$26:$K$26,1)-LARGE($G$26:$K$26,2)&lt;=5,"YES: tie; decide on bake-off, prefer lower complexity","No")))</f>
        <v>No</v>
      </c>
      <c r="H28" s="17"/>
      <c r="I28" s="17" t="str">
        <f aca="false">IF(OR(I26="",COUNT($G$26:$K$26)&lt;2),"",IF(I27&gt;2,"",IF(LARGE($G$26:$K$26,1)-LARGE($G$26:$K$26,2)&lt;=5,"YES: tie; decide on bake-off, prefer lower complexity","No")))</f>
        <v>No</v>
      </c>
      <c r="J28" s="17"/>
      <c r="K28" s="17" t="str">
        <f aca="false">IF(OR(K26="",COUNT($G$26:$K$26)&lt;2),"",IF(K27&gt;2,"",IF(LARGE($G$26:$K$26,1)-LARGE($G$26:$K$26,2)&lt;=5,"YES: tie; decide on bake-off, prefer lower complexity","No")))</f>
        <v/>
      </c>
      <c r="L28" s="17"/>
    </row>
    <row r="29" customFormat="false" ht="23.85" hidden="false" customHeight="true" outlineLevel="0" collapsed="false">
      <c r="B29" s="22" t="s">
        <v>235</v>
      </c>
      <c r="C29" s="22"/>
      <c r="D29" s="22"/>
      <c r="E29" s="22"/>
      <c r="F29" s="22"/>
      <c r="G29" s="16" t="str">
        <f aca="false">IF(NOT(Problem!$B$22&lt;&gt;""),"",IF(G22="ELIMINATED","ELIMINATED: gate failure",IF(G22&lt;&gt;"ALL PASS","Gates incomplete",IF(Weights!$H$18&lt;&gt;"OK","Fix weights: must total 100",IF(COUNT(G6:G17)&lt;12,"Scoring incomplete",IF(G6&lt;=2,"TASK-FIT CAP (bake-off must meet quality target) · ","")&amp;G25&amp;IF(G24&gt;0," · "&amp;G24&amp;" low-score flag(s) to mitigate",""))))))</f>
        <v>TASK-FIT CAP (bake-off must meet quality target) · Acceptable: record mitigations</v>
      </c>
      <c r="H29" s="16"/>
      <c r="I29" s="16" t="str">
        <f aca="false">IF(NOT(Problem!$B$23&lt;&gt;""),"",IF(I22="ELIMINATED","ELIMINATED: gate failure",IF(I22&lt;&gt;"ALL PASS","Gates incomplete",IF(Weights!$H$18&lt;&gt;"OK","Fix weights: must total 100",IF(COUNT(I6:I17)&lt;12,"Scoring incomplete",IF(I6&lt;=2,"TASK-FIT CAP (bake-off must meet quality target) · ","")&amp;I25&amp;IF(I24&gt;0," · "&amp;I24&amp;" low-score flag(s) to mitigate",""))))))</f>
        <v>Acceptable: record mitigations</v>
      </c>
      <c r="J29" s="16"/>
      <c r="K29" s="16" t="str">
        <f aca="false">IF(NOT(Problem!$B$24&lt;&gt;""),"",IF(K22="ELIMINATED","ELIMINATED: gate failure",IF(K22&lt;&gt;"ALL PASS","Gates incomplete",IF(Weights!$H$18&lt;&gt;"OK","Fix weights: must total 100",IF(COUNT(K6:K17)&lt;12,"Scoring incomplete",IF(K6&lt;=2,"TASK-FIT CAP (bake-off must meet quality target) · ","")&amp;K25&amp;IF(K24&gt;0," · "&amp;K24&amp;" low-score flag(s) to mitigate",""))))))</f>
        <v>ELIMINATED: gate failure</v>
      </c>
      <c r="L29" s="16"/>
    </row>
  </sheetData>
  <mergeCells count="43">
    <mergeCell ref="G4:H4"/>
    <mergeCell ref="I4:J4"/>
    <mergeCell ref="K4:L4"/>
    <mergeCell ref="B20:F20"/>
    <mergeCell ref="G20:H20"/>
    <mergeCell ref="I20:J20"/>
    <mergeCell ref="K20:L20"/>
    <mergeCell ref="B21:F21"/>
    <mergeCell ref="G21:H21"/>
    <mergeCell ref="I21:J21"/>
    <mergeCell ref="K21:L21"/>
    <mergeCell ref="B22:F22"/>
    <mergeCell ref="G22:H22"/>
    <mergeCell ref="I22:J22"/>
    <mergeCell ref="K22:L22"/>
    <mergeCell ref="B23:F23"/>
    <mergeCell ref="G23:H23"/>
    <mergeCell ref="I23:J23"/>
    <mergeCell ref="K23:L23"/>
    <mergeCell ref="B24:F24"/>
    <mergeCell ref="G24:H24"/>
    <mergeCell ref="I24:J24"/>
    <mergeCell ref="K24:L24"/>
    <mergeCell ref="B25:F25"/>
    <mergeCell ref="G25:H25"/>
    <mergeCell ref="I25:J25"/>
    <mergeCell ref="K25:L25"/>
    <mergeCell ref="B26:F26"/>
    <mergeCell ref="G26:H26"/>
    <mergeCell ref="I26:J26"/>
    <mergeCell ref="K26:L26"/>
    <mergeCell ref="B27:F27"/>
    <mergeCell ref="G27:H27"/>
    <mergeCell ref="I27:J27"/>
    <mergeCell ref="K27:L27"/>
    <mergeCell ref="B28:F28"/>
    <mergeCell ref="G28:H28"/>
    <mergeCell ref="I28:J28"/>
    <mergeCell ref="K28:L28"/>
    <mergeCell ref="B29:F29"/>
    <mergeCell ref="G29:H29"/>
    <mergeCell ref="I29:J29"/>
    <mergeCell ref="K29:L29"/>
  </mergeCells>
  <conditionalFormatting sqref="G29:L29">
    <cfRule type="expression" priority="2" aboveAverage="0" equalAverage="0" bottom="0" percent="0" rank="0" text="" dxfId="1">
      <formula>LEFT(G29,4)="ELIM"</formula>
    </cfRule>
    <cfRule type="expression" priority="3" aboveAverage="0" equalAverage="0" bottom="0" percent="0" rank="0" text="" dxfId="1">
      <formula>ISNUMBER(SEARCH("Poor fit",G29))</formula>
    </cfRule>
    <cfRule type="expression" priority="4" aboveAverage="0" equalAverage="0" bottom="0" percent="0" rank="0" text="" dxfId="2">
      <formula>LEFT(G29,6)="Strong"</formula>
    </cfRule>
    <cfRule type="expression" priority="5" aboveAverage="0" equalAverage="0" bottom="0" percent="0" rank="0" text="" dxfId="0">
      <formula>AND(G29&lt;&gt;"",LEFT(G29,4)&lt;&gt;"ELIM",NOT(ISNUMBER(SEARCH("Poor fit",G29))),LEFT(G29,6)&lt;&gt;"Strong")</formula>
    </cfRule>
  </conditionalFormatting>
  <conditionalFormatting sqref="G6:G17">
    <cfRule type="expression" priority="6" aboveAverage="0" equalAverage="0" bottom="0" percent="0" rank="0" text="" dxfId="1">
      <formula>AND(ISNUMBER(G6),G6&lt;=2)</formula>
    </cfRule>
  </conditionalFormatting>
  <conditionalFormatting sqref="I6:I17">
    <cfRule type="expression" priority="7" aboveAverage="0" equalAverage="0" bottom="0" percent="0" rank="0" text="" dxfId="1">
      <formula>AND(ISNUMBER(I6),I6&lt;=2)</formula>
    </cfRule>
  </conditionalFormatting>
  <conditionalFormatting sqref="K6:K17">
    <cfRule type="expression" priority="8" aboveAverage="0" equalAverage="0" bottom="0" percent="0" rank="0" text="" dxfId="1">
      <formula>AND(ISNUMBER(K6),K6&lt;=2)</formula>
    </cfRule>
  </conditionalFormatting>
  <dataValidations count="1">
    <dataValidation allowBlank="true" error="Enter a whole number from 1 to 5." errorStyle="stop" errorTitle="Score 1–5" operator="between" showDropDown="false" showErrorMessage="true" showInputMessage="false" sqref="G6:G17 I6:I17 K6:K17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"/>
    <col collapsed="false" customWidth="true" hidden="false" outlineLevel="0" max="4" min="3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236</v>
      </c>
    </row>
    <row r="2" customFormat="false" ht="15" hidden="false" customHeight="false" outlineLevel="0" collapsed="false">
      <c r="A2" s="8" t="s">
        <v>237</v>
      </c>
    </row>
    <row r="4" customFormat="false" ht="23.85" hidden="false" customHeight="false" outlineLevel="0" collapsed="false">
      <c r="D4" s="13" t="str">
        <f aca="false">IF(Problem!$B$22="","Candidate A",Problem!$B$22)</f>
        <v>P04 Managed RAG (Bedrock Knowledge Bases)</v>
      </c>
      <c r="E4" s="13"/>
      <c r="F4" s="13" t="str">
        <f aca="false">IF(Problem!$B$23="","Candidate B",Problem!$B$23)</f>
        <v>P06 Knowledge graph RAG with Neo4j</v>
      </c>
      <c r="G4" s="13"/>
      <c r="H4" s="13" t="str">
        <f aca="false">IF(Problem!$B$24="","Candidate C",Problem!$B$24)</f>
        <v>P08 Tool-using agent (bounded autonomy)</v>
      </c>
      <c r="I4" s="13"/>
    </row>
    <row r="5" customFormat="false" ht="15" hidden="false" customHeight="false" outlineLevel="0" collapsed="false">
      <c r="A5" s="9" t="s">
        <v>156</v>
      </c>
      <c r="B5" s="9" t="s">
        <v>238</v>
      </c>
      <c r="C5" s="9" t="s">
        <v>239</v>
      </c>
      <c r="D5" s="9" t="s">
        <v>94</v>
      </c>
      <c r="E5" s="9" t="s">
        <v>240</v>
      </c>
      <c r="F5" s="9" t="s">
        <v>94</v>
      </c>
      <c r="G5" s="9" t="s">
        <v>240</v>
      </c>
      <c r="H5" s="9" t="s">
        <v>94</v>
      </c>
      <c r="I5" s="9" t="s">
        <v>240</v>
      </c>
    </row>
    <row r="6" customFormat="false" ht="23.85" hidden="false" customHeight="false" outlineLevel="0" collapsed="false">
      <c r="A6" s="5" t="s">
        <v>241</v>
      </c>
      <c r="B6" s="18" t="s">
        <v>242</v>
      </c>
      <c r="C6" s="25" t="n">
        <v>0.8</v>
      </c>
      <c r="D6" s="25" t="n">
        <v>0.41</v>
      </c>
      <c r="E6" s="18" t="str">
        <f aca="false">IF(OR(D6="",$C6=""),"",IF($B6="Higher",IF(D6&gt;=$C6,"✓ Met","✗ Not met"),IF($B6="Lower",IF(D6&lt;=$C6,"✓ Met","✗ Not met"),IF(D6="PASS","✓ Met","✗ Not met"))))</f>
        <v>✗ Not met</v>
      </c>
      <c r="F6" s="25" t="n">
        <v>0.82</v>
      </c>
      <c r="G6" s="18" t="str">
        <f aca="false">IF(OR(F6="",$C6=""),"",IF($B6="Higher",IF(F6&gt;=$C6,"✓ Met","✗ Not met"),IF($B6="Lower",IF(F6&lt;=$C6,"✓ Met","✗ Not met"),IF(F6="PASS","✓ Met","✗ Not met"))))</f>
        <v>✓ Met</v>
      </c>
      <c r="H6" s="25"/>
      <c r="I6" s="18" t="str">
        <f aca="false">IF(OR(H6="",$C6=""),"",IF($B6="Higher",IF(H6&gt;=$C6,"✓ Met","✗ Not met"),IF($B6="Lower",IF(H6&lt;=$C6,"✓ Met","✗ Not met"),IF(H6="PASS","✓ Met","✗ Not met"))))</f>
        <v/>
      </c>
    </row>
    <row r="7" customFormat="false" ht="15" hidden="false" customHeight="false" outlineLevel="0" collapsed="false">
      <c r="A7" s="5" t="s">
        <v>243</v>
      </c>
      <c r="B7" s="18" t="s">
        <v>244</v>
      </c>
      <c r="C7" s="26" t="n">
        <v>0.05</v>
      </c>
      <c r="D7" s="26" t="n">
        <v>0.012</v>
      </c>
      <c r="E7" s="18" t="str">
        <f aca="false">IF(OR(D7="",$C7=""),"",IF($B7="Higher",IF(D7&gt;=$C7,"✓ Met","✗ Not met"),IF($B7="Lower",IF(D7&lt;=$C7,"✓ Met","✗ Not met"),IF(D7="PASS","✓ Met","✗ Not met"))))</f>
        <v>✓ Met</v>
      </c>
      <c r="F7" s="26" t="n">
        <v>0.031</v>
      </c>
      <c r="G7" s="18" t="str">
        <f aca="false">IF(OR(F7="",$C7=""),"",IF($B7="Higher",IF(F7&gt;=$C7,"✓ Met","✗ Not met"),IF($B7="Lower",IF(F7&lt;=$C7,"✓ Met","✗ Not met"),IF(F7="PASS","✓ Met","✗ Not met"))))</f>
        <v>✓ Met</v>
      </c>
      <c r="H7" s="26"/>
      <c r="I7" s="18" t="str">
        <f aca="false">IF(OR(H7="",$C7=""),"",IF($B7="Higher",IF(H7&gt;=$C7,"✓ Met","✗ Not met"),IF($B7="Lower",IF(H7&lt;=$C7,"✓ Met","✗ Not met"),IF(H7="PASS","✓ Met","✗ Not met"))))</f>
        <v/>
      </c>
    </row>
    <row r="8" customFormat="false" ht="15" hidden="false" customHeight="false" outlineLevel="0" collapsed="false">
      <c r="A8" s="5" t="s">
        <v>245</v>
      </c>
      <c r="B8" s="18" t="s">
        <v>244</v>
      </c>
      <c r="C8" s="26" t="n">
        <v>0.05</v>
      </c>
      <c r="D8" s="26" t="n">
        <v>0.012</v>
      </c>
      <c r="E8" s="18" t="str">
        <f aca="false">IF(OR(D8="",$C8=""),"",IF($B8="Higher",IF(D8&gt;=$C8,"✓ Met","✗ Not met"),IF($B8="Lower",IF(D8&lt;=$C8,"✓ Met","✗ Not met"),IF(D8="PASS","✓ Met","✗ Not met"))))</f>
        <v>✓ Met</v>
      </c>
      <c r="F8" s="26" t="n">
        <v>0.024</v>
      </c>
      <c r="G8" s="18" t="str">
        <f aca="false">IF(OR(F8="",$C8=""),"",IF($B8="Higher",IF(F8&gt;=$C8,"✓ Met","✗ Not met"),IF($B8="Lower",IF(F8&lt;=$C8,"✓ Met","✗ Not met"),IF(F8="PASS","✓ Met","✗ Not met"))))</f>
        <v>✓ Met</v>
      </c>
      <c r="H8" s="26"/>
      <c r="I8" s="18" t="str">
        <f aca="false">IF(OR(H8="",$C8=""),"",IF($B8="Higher",IF(H8&gt;=$C8,"✓ Met","✗ Not met"),IF($B8="Lower",IF(H8&lt;=$C8,"✓ Met","✗ Not met"),IF(H8="PASS","✓ Met","✗ Not met"))))</f>
        <v/>
      </c>
    </row>
    <row r="9" customFormat="false" ht="15" hidden="false" customHeight="false" outlineLevel="0" collapsed="false">
      <c r="A9" s="5" t="s">
        <v>246</v>
      </c>
      <c r="B9" s="18" t="s">
        <v>244</v>
      </c>
      <c r="C9" s="27" t="n">
        <v>2</v>
      </c>
      <c r="D9" s="27" t="n">
        <v>1.4</v>
      </c>
      <c r="E9" s="18" t="str">
        <f aca="false">IF(OR(D9="",$C9=""),"",IF($B9="Higher",IF(D9&gt;=$C9,"✓ Met","✗ Not met"),IF($B9="Lower",IF(D9&lt;=$C9,"✓ Met","✗ Not met"),IF(D9="PASS","✓ Met","✗ Not met"))))</f>
        <v>✓ Met</v>
      </c>
      <c r="F9" s="27" t="n">
        <v>1.9</v>
      </c>
      <c r="G9" s="18" t="str">
        <f aca="false">IF(OR(F9="",$C9=""),"",IF($B9="Higher",IF(F9&gt;=$C9,"✓ Met","✗ Not met"),IF($B9="Lower",IF(F9&lt;=$C9,"✓ Met","✗ Not met"),IF(F9="PASS","✓ Met","✗ Not met"))))</f>
        <v>✓ Met</v>
      </c>
      <c r="H9" s="27"/>
      <c r="I9" s="18" t="str">
        <f aca="false">IF(OR(H9="",$C9=""),"",IF($B9="Higher",IF(H9&gt;=$C9,"✓ Met","✗ Not met"),IF($B9="Lower",IF(H9&lt;=$C9,"✓ Met","✗ Not met"),IF(H9="PASS","✓ Met","✗ Not met"))))</f>
        <v/>
      </c>
    </row>
    <row r="10" customFormat="false" ht="15" hidden="false" customHeight="false" outlineLevel="0" collapsed="false">
      <c r="A10" s="5" t="s">
        <v>247</v>
      </c>
      <c r="B10" s="18" t="s">
        <v>244</v>
      </c>
      <c r="C10" s="27" t="n">
        <v>15</v>
      </c>
      <c r="D10" s="27" t="n">
        <v>6.5</v>
      </c>
      <c r="E10" s="18" t="str">
        <f aca="false">IF(OR(D10="",$C10=""),"",IF($B10="Higher",IF(D10&gt;=$C10,"✓ Met","✗ Not met"),IF($B10="Lower",IF(D10&lt;=$C10,"✓ Met","✗ Not met"),IF(D10="PASS","✓ Met","✗ Not met"))))</f>
        <v>✓ Met</v>
      </c>
      <c r="F10" s="27" t="n">
        <v>9.8</v>
      </c>
      <c r="G10" s="18" t="str">
        <f aca="false">IF(OR(F10="",$C10=""),"",IF($B10="Higher",IF(F10&gt;=$C10,"✓ Met","✗ Not met"),IF($B10="Lower",IF(F10&lt;=$C10,"✓ Met","✗ Not met"),IF(F10="PASS","✓ Met","✗ Not met"))))</f>
        <v>✓ Met</v>
      </c>
      <c r="H10" s="27"/>
      <c r="I10" s="18" t="str">
        <f aca="false">IF(OR(H10="",$C10=""),"",IF($B10="Higher",IF(H10&gt;=$C10,"✓ Met","✗ Not met"),IF($B10="Lower",IF(H10&lt;=$C10,"✓ Met","✗ Not met"),IF(H10="PASS","✓ Met","✗ Not met"))))</f>
        <v/>
      </c>
    </row>
    <row r="11" customFormat="false" ht="23.85" hidden="false" customHeight="false" outlineLevel="0" collapsed="false">
      <c r="A11" s="5" t="s">
        <v>248</v>
      </c>
      <c r="B11" s="18" t="s">
        <v>100</v>
      </c>
      <c r="C11" s="18" t="s">
        <v>100</v>
      </c>
      <c r="D11" s="15" t="s">
        <v>100</v>
      </c>
      <c r="E11" s="18" t="str">
        <f aca="false">IF(OR(D11="",$C11=""),"",IF($B11="Higher",IF(D11&gt;=$C11,"✓ Met","✗ Not met"),IF($B11="Lower",IF(D11&lt;=$C11,"✓ Met","✗ Not met"),IF(D11="PASS","✓ Met","✗ Not met"))))</f>
        <v>✓ Met</v>
      </c>
      <c r="F11" s="15" t="s">
        <v>100</v>
      </c>
      <c r="G11" s="18" t="str">
        <f aca="false">IF(OR(F11="",$C11=""),"",IF($B11="Higher",IF(F11&gt;=$C11,"✓ Met","✗ Not met"),IF($B11="Lower",IF(F11&lt;=$C11,"✓ Met","✗ Not met"),IF(F11="PASS","✓ Met","✗ Not met"))))</f>
        <v>✓ Met</v>
      </c>
      <c r="H11" s="15"/>
      <c r="I11" s="18" t="str">
        <f aca="false">IF(OR(H11="",$C11=""),"",IF($B11="Higher",IF(H11&gt;=$C11,"✓ Met","✗ Not met"),IF($B11="Lower",IF(H11&lt;=$C11,"✓ Met","✗ Not met"),IF(H11="PASS","✓ Met","✗ Not met"))))</f>
        <v/>
      </c>
    </row>
    <row r="12" customFormat="false" ht="23.85" hidden="false" customHeight="false" outlineLevel="0" collapsed="false">
      <c r="A12" s="5" t="s">
        <v>249</v>
      </c>
      <c r="B12" s="18" t="s">
        <v>100</v>
      </c>
      <c r="C12" s="18" t="s">
        <v>100</v>
      </c>
      <c r="D12" s="15" t="s">
        <v>100</v>
      </c>
      <c r="E12" s="18" t="str">
        <f aca="false">IF(OR(D12="",$C12=""),"",IF($B12="Higher",IF(D12&gt;=$C12,"✓ Met","✗ Not met"),IF($B12="Lower",IF(D12&lt;=$C12,"✓ Met","✗ Not met"),IF(D12="PASS","✓ Met","✗ Not met"))))</f>
        <v>✓ Met</v>
      </c>
      <c r="F12" s="15" t="s">
        <v>100</v>
      </c>
      <c r="G12" s="18" t="str">
        <f aca="false">IF(OR(F12="",$C12=""),"",IF($B12="Higher",IF(F12&gt;=$C12,"✓ Met","✗ Not met"),IF($B12="Lower",IF(F12&lt;=$C12,"✓ Met","✗ Not met"),IF(F12="PASS","✓ Met","✗ Not met"))))</f>
        <v>✓ Met</v>
      </c>
      <c r="H12" s="15"/>
      <c r="I12" s="18" t="str">
        <f aca="false">IF(OR(H12="",$C12=""),"",IF($B12="Higher",IF(H12&gt;=$C12,"✓ Met","✗ Not met"),IF($B12="Lower",IF(H12&lt;=$C12,"✓ Met","✗ Not met"),IF(H12="PASS","✓ Met","✗ Not met"))))</f>
        <v/>
      </c>
    </row>
    <row r="13" customFormat="false" ht="23.85" hidden="false" customHeight="false" outlineLevel="0" collapsed="false">
      <c r="A13" s="5" t="s">
        <v>250</v>
      </c>
      <c r="B13" s="18" t="s">
        <v>100</v>
      </c>
      <c r="C13" s="18" t="s">
        <v>100</v>
      </c>
      <c r="D13" s="15" t="s">
        <v>100</v>
      </c>
      <c r="E13" s="18" t="str">
        <f aca="false">IF(OR(D13="",$C13=""),"",IF($B13="Higher",IF(D13&gt;=$C13,"✓ Met","✗ Not met"),IF($B13="Lower",IF(D13&lt;=$C13,"✓ Met","✗ Not met"),IF(D13="PASS","✓ Met","✗ Not met"))))</f>
        <v>✓ Met</v>
      </c>
      <c r="F13" s="15" t="s">
        <v>100</v>
      </c>
      <c r="G13" s="18" t="str">
        <f aca="false">IF(OR(F13="",$C13=""),"",IF($B13="Higher",IF(F13&gt;=$C13,"✓ Met","✗ Not met"),IF($B13="Lower",IF(F13&lt;=$C13,"✓ Met","✗ Not met"),IF(F13="PASS","✓ Met","✗ Not met"))))</f>
        <v>✓ Met</v>
      </c>
      <c r="H13" s="15"/>
      <c r="I13" s="18" t="str">
        <f aca="false">IF(OR(H13="",$C13=""),"",IF($B13="Higher",IF(H13&gt;=$C13,"✓ Met","✗ Not met"),IF($B13="Lower",IF(H13&lt;=$C13,"✓ Met","✗ Not met"),IF(H13="PASS","✓ Met","✗ Not met"))))</f>
        <v/>
      </c>
    </row>
    <row r="15" customFormat="false" ht="15" hidden="false" customHeight="false" outlineLevel="0" collapsed="false">
      <c r="A15" s="12" t="s">
        <v>251</v>
      </c>
      <c r="D15" s="16" t="str">
        <f aca="false">COUNTIF(E6:E13,"✓ Met")&amp;" of "&amp;(COUNTA(D6:D13))&amp;" tested"</f>
        <v>7 of 8 tested</v>
      </c>
      <c r="E15" s="16"/>
      <c r="F15" s="16" t="str">
        <f aca="false">COUNTIF(G6:G13,"✓ Met")&amp;" of "&amp;(COUNTA(F6:F13))&amp;" tested"</f>
        <v>8 of 8 tested</v>
      </c>
      <c r="G15" s="16"/>
      <c r="H15" s="16" t="str">
        <f aca="false">COUNTIF(I6:I13,"✓ Met")&amp;" of "&amp;(COUNTA(H6:H13))&amp;" tested"</f>
        <v>0 of 0 tested</v>
      </c>
      <c r="I15" s="16"/>
    </row>
    <row r="16" customFormat="false" ht="15" hidden="false" customHeight="false" outlineLevel="0" collapsed="false">
      <c r="A16" s="12" t="s">
        <v>252</v>
      </c>
      <c r="D16" s="16" t="str">
        <f aca="false">IF(LEFT(Scoring!G23,3)&lt;&gt;"YES","n/a (no cap)",IF(E6="","Awaiting quality result",IF(E6="✓ Met","Cap lifted: quality target met","Cap stands: do not select")))</f>
        <v>Cap stands: do not select</v>
      </c>
      <c r="E16" s="16"/>
      <c r="F16" s="16" t="str">
        <f aca="false">IF(LEFT(Scoring!I23,3)&lt;&gt;"YES","n/a (no cap)",IF(G6="","Awaiting quality result",IF(G6="✓ Met","Cap lifted: quality target met","Cap stands: do not select")))</f>
        <v>n/a (no cap)</v>
      </c>
      <c r="G16" s="16"/>
      <c r="H16" s="16" t="str">
        <f aca="false">IF(LEFT(Scoring!K23,3)&lt;&gt;"YES","n/a (no cap)",IF(I6="","Awaiting quality result",IF(I6="✓ Met","Cap lifted: quality target met","Cap stands: do not select")))</f>
        <v>n/a (no cap)</v>
      </c>
      <c r="I16" s="16"/>
    </row>
    <row r="18" customFormat="false" ht="60" hidden="false" customHeight="true" outlineLevel="0" collapsed="false">
      <c r="A18" s="12" t="s">
        <v>253</v>
      </c>
      <c r="B18" s="19" t="s">
        <v>254</v>
      </c>
      <c r="C18" s="19"/>
      <c r="D18" s="19"/>
      <c r="E18" s="19"/>
      <c r="F18" s="19"/>
      <c r="G18" s="19"/>
      <c r="H18" s="19"/>
      <c r="I18" s="19"/>
    </row>
  </sheetData>
  <mergeCells count="10">
    <mergeCell ref="D4:E4"/>
    <mergeCell ref="F4:G4"/>
    <mergeCell ref="H4:I4"/>
    <mergeCell ref="D15:E15"/>
    <mergeCell ref="F15:G15"/>
    <mergeCell ref="H15:I15"/>
    <mergeCell ref="D16:E16"/>
    <mergeCell ref="F16:G16"/>
    <mergeCell ref="H16:I16"/>
    <mergeCell ref="B18:I18"/>
  </mergeCells>
  <conditionalFormatting sqref="D6:I16">
    <cfRule type="expression" priority="2" aboveAverage="0" equalAverage="0" bottom="0" percent="0" rank="0" text="" dxfId="1">
      <formula>LEFT(D6,1)="✗"</formula>
    </cfRule>
    <cfRule type="expression" priority="3" aboveAverage="0" equalAverage="0" bottom="0" percent="0" rank="0" text="" dxfId="2">
      <formula>LEFT(D6,1)="✓"</formula>
    </cfRule>
    <cfRule type="expression" priority="4" aboveAverage="0" equalAverage="0" bottom="0" percent="0" rank="0" text="" dxfId="1">
      <formula>LEFT(D6,10)="Cap stands"</formula>
    </cfRule>
    <cfRule type="expression" priority="5" aboveAverage="0" equalAverage="0" bottom="0" percent="0" rank="0" text="" dxfId="2">
      <formula>LEFT(D6,10)="Cap lifted"</formula>
    </cfRule>
  </conditionalFormatting>
  <dataValidations count="1">
    <dataValidation allowBlank="true" errorStyle="stop" operator="between" showDropDown="false" showErrorMessage="false" showInputMessage="false" sqref="D11:D13 F11:F13 H11:H13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255</v>
      </c>
    </row>
    <row r="2" customFormat="false" ht="15" hidden="false" customHeight="false" outlineLevel="0" collapsed="false">
      <c r="A2" s="8" t="s">
        <v>256</v>
      </c>
    </row>
    <row r="4" customFormat="false" ht="23.85" hidden="false" customHeight="false" outlineLevel="0" collapsed="false">
      <c r="A4" s="9" t="s">
        <v>257</v>
      </c>
      <c r="B4" s="9" t="s">
        <v>258</v>
      </c>
      <c r="C4" s="9" t="s">
        <v>259</v>
      </c>
      <c r="D4" s="9" t="s">
        <v>260</v>
      </c>
      <c r="E4" s="9" t="s">
        <v>261</v>
      </c>
      <c r="F4" s="9" t="s">
        <v>262</v>
      </c>
    </row>
    <row r="5" customFormat="false" ht="15" hidden="false" customHeight="false" outlineLevel="0" collapsed="false">
      <c r="A5" s="4" t="s">
        <v>263</v>
      </c>
      <c r="B5" s="18" t="s">
        <v>264</v>
      </c>
      <c r="C5" s="15"/>
      <c r="D5" s="15"/>
      <c r="E5" s="28" t="str">
        <f aca="false">IF(OR(C5="",D5="",C5=0),"",(D5-C5)/C5)</f>
        <v/>
      </c>
      <c r="F5" s="10"/>
    </row>
    <row r="6" customFormat="false" ht="15" hidden="false" customHeight="false" outlineLevel="0" collapsed="false">
      <c r="A6" s="4" t="s">
        <v>265</v>
      </c>
      <c r="B6" s="18" t="s">
        <v>264</v>
      </c>
      <c r="C6" s="15"/>
      <c r="D6" s="15"/>
      <c r="E6" s="28" t="str">
        <f aca="false">IF(OR(C6="",D6="",C6=0),"",(D6-C6)/C6)</f>
        <v/>
      </c>
      <c r="F6" s="10"/>
    </row>
    <row r="7" customFormat="false" ht="15" hidden="false" customHeight="false" outlineLevel="0" collapsed="false">
      <c r="A7" s="4" t="s">
        <v>266</v>
      </c>
      <c r="B7" s="18" t="s">
        <v>267</v>
      </c>
      <c r="C7" s="15"/>
      <c r="D7" s="15"/>
      <c r="E7" s="28" t="str">
        <f aca="false">IF(OR(C7="",D7="",C7=0),"",(D7-C7)/C7)</f>
        <v/>
      </c>
      <c r="F7" s="10"/>
    </row>
    <row r="8" customFormat="false" ht="15" hidden="false" customHeight="false" outlineLevel="0" collapsed="false">
      <c r="A8" s="4" t="s">
        <v>268</v>
      </c>
      <c r="B8" s="18" t="s">
        <v>269</v>
      </c>
      <c r="C8" s="15"/>
      <c r="D8" s="15"/>
      <c r="E8" s="28" t="str">
        <f aca="false">IF(OR(C8="",D8="",C8=0),"",(D8-C8)/C8)</f>
        <v/>
      </c>
      <c r="F8" s="10"/>
    </row>
    <row r="9" customFormat="false" ht="15" hidden="false" customHeight="false" outlineLevel="0" collapsed="false">
      <c r="A9" s="4" t="s">
        <v>270</v>
      </c>
      <c r="B9" s="18" t="s">
        <v>267</v>
      </c>
      <c r="C9" s="15"/>
      <c r="D9" s="15"/>
      <c r="E9" s="28" t="str">
        <f aca="false">IF(OR(C9="",D9="",C9=0),"",(D9-C9)/C9)</f>
        <v/>
      </c>
      <c r="F9" s="10"/>
    </row>
    <row r="10" customFormat="false" ht="15" hidden="false" customHeight="false" outlineLevel="0" collapsed="false">
      <c r="A10" s="4" t="s">
        <v>271</v>
      </c>
      <c r="B10" s="18" t="s">
        <v>267</v>
      </c>
      <c r="C10" s="15"/>
      <c r="D10" s="15"/>
      <c r="E10" s="28" t="str">
        <f aca="false">IF(OR(C10="",D10="",C10=0),"",(D10-C10)/C10)</f>
        <v/>
      </c>
      <c r="F10" s="10"/>
    </row>
    <row r="11" customFormat="false" ht="15" hidden="false" customHeight="false" outlineLevel="0" collapsed="false">
      <c r="A11" s="4" t="s">
        <v>272</v>
      </c>
      <c r="B11" s="18" t="s">
        <v>273</v>
      </c>
      <c r="C11" s="15"/>
      <c r="D11" s="15"/>
      <c r="E11" s="28" t="str">
        <f aca="false">IF(OR(C11="",D11="",C11=0),"",(D11-C11)/C11)</f>
        <v/>
      </c>
      <c r="F11" s="10"/>
    </row>
    <row r="12" customFormat="false" ht="15" hidden="false" customHeight="false" outlineLevel="0" collapsed="false">
      <c r="A12" s="4" t="s">
        <v>274</v>
      </c>
      <c r="B12" s="18" t="s">
        <v>275</v>
      </c>
      <c r="C12" s="15"/>
      <c r="D12" s="15"/>
      <c r="E12" s="28" t="str">
        <f aca="false">IF(OR(C12="",D12="",C12=0),"",(D12-C12)/C12)</f>
        <v/>
      </c>
      <c r="F12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9" min="8" style="0" width="12"/>
    <col collapsed="false" customWidth="true" hidden="false" outlineLevel="0" max="11" min="10" style="0" width="16"/>
    <col collapsed="false" customWidth="true" hidden="false" outlineLevel="0" max="12" min="12" style="0" width="13"/>
    <col collapsed="false" customWidth="true" hidden="false" outlineLevel="0" max="13" min="13" style="0" width="22"/>
    <col collapsed="false" customWidth="true" hidden="false" outlineLevel="0" max="14" min="14" style="0" width="16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9"/>
    <col collapsed="false" customWidth="true" hidden="false" outlineLevel="0" max="20" min="19" style="0" width="12"/>
  </cols>
  <sheetData>
    <row r="1" customFormat="false" ht="17.35" hidden="false" customHeight="false" outlineLevel="0" collapsed="false">
      <c r="A1" s="1" t="s">
        <v>276</v>
      </c>
    </row>
    <row r="2" customFormat="false" ht="15" hidden="false" customHeight="false" outlineLevel="0" collapsed="false">
      <c r="A2" s="8" t="s">
        <v>277</v>
      </c>
    </row>
    <row r="4" customFormat="false" ht="23.85" hidden="false" customHeight="false" outlineLevel="0" collapsed="false">
      <c r="A4" s="9" t="s">
        <v>278</v>
      </c>
      <c r="B4" s="9" t="s">
        <v>279</v>
      </c>
      <c r="C4" s="9" t="s">
        <v>280</v>
      </c>
      <c r="D4" s="9" t="s">
        <v>281</v>
      </c>
      <c r="E4" s="9" t="s">
        <v>282</v>
      </c>
      <c r="F4" s="9" t="s">
        <v>283</v>
      </c>
      <c r="G4" s="9" t="s">
        <v>284</v>
      </c>
      <c r="H4" s="9" t="s">
        <v>285</v>
      </c>
      <c r="I4" s="9" t="s">
        <v>142</v>
      </c>
      <c r="J4" s="9" t="s">
        <v>286</v>
      </c>
      <c r="K4" s="9" t="s">
        <v>287</v>
      </c>
      <c r="L4" s="9" t="s">
        <v>288</v>
      </c>
      <c r="M4" s="9" t="s">
        <v>289</v>
      </c>
      <c r="N4" s="9" t="s">
        <v>290</v>
      </c>
      <c r="O4" s="9" t="s">
        <v>291</v>
      </c>
      <c r="P4" s="9" t="s">
        <v>292</v>
      </c>
      <c r="Q4" s="9" t="s">
        <v>293</v>
      </c>
      <c r="R4" s="9" t="s">
        <v>294</v>
      </c>
      <c r="S4" s="9" t="s">
        <v>295</v>
      </c>
      <c r="T4" s="9" t="s">
        <v>296</v>
      </c>
    </row>
    <row r="5" customFormat="false" ht="15" hidden="false" customHeight="false" outlineLevel="0" collapsed="false">
      <c r="A5" s="5" t="s">
        <v>297</v>
      </c>
      <c r="B5" s="5" t="s">
        <v>298</v>
      </c>
      <c r="C5" s="5" t="str">
        <f aca="false">A5&amp;" "&amp;B5</f>
        <v>P01 Serverless model invocation</v>
      </c>
      <c r="D5" s="5" t="s">
        <v>299</v>
      </c>
      <c r="E5" s="5" t="s">
        <v>300</v>
      </c>
      <c r="F5" s="5" t="s">
        <v>301</v>
      </c>
      <c r="G5" s="5" t="s">
        <v>302</v>
      </c>
      <c r="H5" s="5" t="s">
        <v>202</v>
      </c>
      <c r="I5" s="5" t="s">
        <v>303</v>
      </c>
      <c r="J5" s="5" t="s">
        <v>304</v>
      </c>
      <c r="K5" s="5" t="s">
        <v>202</v>
      </c>
      <c r="L5" s="5" t="s">
        <v>202</v>
      </c>
      <c r="M5" s="5" t="s">
        <v>305</v>
      </c>
      <c r="N5" s="5" t="s">
        <v>306</v>
      </c>
      <c r="O5" s="5" t="s">
        <v>307</v>
      </c>
      <c r="P5" s="29" t="n">
        <v>1</v>
      </c>
      <c r="Q5" s="29" t="n">
        <v>1</v>
      </c>
      <c r="R5" s="29" t="n">
        <v>3</v>
      </c>
      <c r="S5" s="29" t="n">
        <v>3</v>
      </c>
      <c r="T5" s="29" t="n">
        <v>2</v>
      </c>
    </row>
    <row r="6" customFormat="false" ht="15" hidden="false" customHeight="false" outlineLevel="0" collapsed="false">
      <c r="A6" s="5" t="s">
        <v>308</v>
      </c>
      <c r="B6" s="5" t="s">
        <v>309</v>
      </c>
      <c r="C6" s="5" t="str">
        <f aca="false">A6&amp;" "&amp;B6</f>
        <v>P02 Batch AI enrichment pipeline</v>
      </c>
      <c r="D6" s="5" t="s">
        <v>310</v>
      </c>
      <c r="E6" s="5" t="s">
        <v>65</v>
      </c>
      <c r="F6" s="5" t="s">
        <v>311</v>
      </c>
      <c r="G6" s="5" t="s">
        <v>312</v>
      </c>
      <c r="H6" s="5" t="s">
        <v>306</v>
      </c>
      <c r="I6" s="5" t="s">
        <v>303</v>
      </c>
      <c r="J6" s="5" t="s">
        <v>304</v>
      </c>
      <c r="K6" s="5" t="s">
        <v>313</v>
      </c>
      <c r="L6" s="5" t="s">
        <v>306</v>
      </c>
      <c r="M6" s="5" t="s">
        <v>314</v>
      </c>
      <c r="N6" s="5" t="s">
        <v>306</v>
      </c>
      <c r="O6" s="5" t="s">
        <v>306</v>
      </c>
      <c r="P6" s="29" t="n">
        <v>1</v>
      </c>
      <c r="Q6" s="29" t="n">
        <v>2</v>
      </c>
      <c r="R6" s="29" t="n">
        <v>2</v>
      </c>
      <c r="S6" s="29" t="n">
        <v>3</v>
      </c>
      <c r="T6" s="29" t="n">
        <v>2</v>
      </c>
    </row>
    <row r="7" customFormat="false" ht="15" hidden="false" customHeight="false" outlineLevel="0" collapsed="false">
      <c r="A7" s="5" t="s">
        <v>315</v>
      </c>
      <c r="B7" s="5" t="s">
        <v>316</v>
      </c>
      <c r="C7" s="5" t="str">
        <f aca="false">A7&amp;" "&amp;B7</f>
        <v>P03 In-warehouse AI and prototyping (Snowflake)</v>
      </c>
      <c r="D7" s="5" t="s">
        <v>299</v>
      </c>
      <c r="E7" s="5" t="s">
        <v>300</v>
      </c>
      <c r="F7" s="5" t="s">
        <v>317</v>
      </c>
      <c r="G7" s="5" t="s">
        <v>318</v>
      </c>
      <c r="H7" s="5" t="s">
        <v>306</v>
      </c>
      <c r="I7" s="5" t="s">
        <v>306</v>
      </c>
      <c r="J7" s="5" t="s">
        <v>304</v>
      </c>
      <c r="K7" s="5" t="s">
        <v>303</v>
      </c>
      <c r="L7" s="5" t="s">
        <v>306</v>
      </c>
      <c r="M7" s="5" t="s">
        <v>319</v>
      </c>
      <c r="N7" s="5" t="s">
        <v>320</v>
      </c>
      <c r="O7" s="5" t="s">
        <v>213</v>
      </c>
      <c r="P7" s="29" t="n">
        <v>1</v>
      </c>
      <c r="Q7" s="29" t="n">
        <v>1</v>
      </c>
      <c r="R7" s="29" t="n">
        <v>2</v>
      </c>
      <c r="S7" s="29" t="n">
        <v>2</v>
      </c>
      <c r="T7" s="29" t="n">
        <v>1</v>
      </c>
    </row>
    <row r="8" customFormat="false" ht="15" hidden="false" customHeight="false" outlineLevel="0" collapsed="false">
      <c r="A8" s="5" t="s">
        <v>321</v>
      </c>
      <c r="B8" s="5" t="s">
        <v>322</v>
      </c>
      <c r="C8" s="5" t="str">
        <f aca="false">A8&amp;" "&amp;B8</f>
        <v>P04 Managed RAG (Bedrock Knowledge Bases)</v>
      </c>
      <c r="D8" s="5" t="s">
        <v>299</v>
      </c>
      <c r="E8" s="5" t="s">
        <v>65</v>
      </c>
      <c r="F8" s="5" t="s">
        <v>62</v>
      </c>
      <c r="G8" s="5" t="s">
        <v>323</v>
      </c>
      <c r="H8" s="5" t="s">
        <v>306</v>
      </c>
      <c r="I8" s="5" t="s">
        <v>306</v>
      </c>
      <c r="J8" s="5" t="s">
        <v>304</v>
      </c>
      <c r="K8" s="5" t="s">
        <v>306</v>
      </c>
      <c r="L8" s="5" t="s">
        <v>306</v>
      </c>
      <c r="M8" s="5" t="s">
        <v>324</v>
      </c>
      <c r="N8" s="5" t="s">
        <v>320</v>
      </c>
      <c r="O8" s="5" t="s">
        <v>202</v>
      </c>
      <c r="P8" s="29" t="n">
        <v>1</v>
      </c>
      <c r="Q8" s="29" t="n">
        <v>2</v>
      </c>
      <c r="R8" s="29" t="n">
        <v>2</v>
      </c>
      <c r="S8" s="29" t="n">
        <v>3</v>
      </c>
      <c r="T8" s="29" t="n">
        <v>2</v>
      </c>
    </row>
    <row r="9" customFormat="false" ht="15" hidden="false" customHeight="false" outlineLevel="0" collapsed="false">
      <c r="A9" s="5" t="s">
        <v>325</v>
      </c>
      <c r="B9" s="5" t="s">
        <v>326</v>
      </c>
      <c r="C9" s="5" t="str">
        <f aca="false">A9&amp;" "&amp;B9</f>
        <v>P05 Enterprise RAG platform</v>
      </c>
      <c r="D9" s="5" t="s">
        <v>327</v>
      </c>
      <c r="E9" s="5" t="s">
        <v>328</v>
      </c>
      <c r="F9" s="5" t="s">
        <v>329</v>
      </c>
      <c r="G9" s="5" t="s">
        <v>330</v>
      </c>
      <c r="H9" s="5" t="s">
        <v>303</v>
      </c>
      <c r="I9" s="5" t="s">
        <v>331</v>
      </c>
      <c r="J9" s="5" t="s">
        <v>332</v>
      </c>
      <c r="K9" s="5" t="s">
        <v>320</v>
      </c>
      <c r="L9" s="5" t="s">
        <v>306</v>
      </c>
      <c r="M9" s="5" t="s">
        <v>324</v>
      </c>
      <c r="N9" s="5" t="s">
        <v>202</v>
      </c>
      <c r="O9" s="5" t="s">
        <v>202</v>
      </c>
      <c r="P9" s="29" t="n">
        <v>3</v>
      </c>
      <c r="Q9" s="29" t="n">
        <v>3</v>
      </c>
      <c r="R9" s="29" t="n">
        <v>3</v>
      </c>
      <c r="S9" s="29" t="n">
        <v>3</v>
      </c>
      <c r="T9" s="29" t="n">
        <v>2</v>
      </c>
    </row>
    <row r="10" customFormat="false" ht="15" hidden="false" customHeight="false" outlineLevel="0" collapsed="false">
      <c r="A10" s="5" t="s">
        <v>333</v>
      </c>
      <c r="B10" s="5" t="s">
        <v>334</v>
      </c>
      <c r="C10" s="5" t="str">
        <f aca="false">A10&amp;" "&amp;B10</f>
        <v>P06 Knowledge graph RAG with Neo4j</v>
      </c>
      <c r="D10" s="5" t="s">
        <v>335</v>
      </c>
      <c r="E10" s="5" t="s">
        <v>336</v>
      </c>
      <c r="F10" s="5" t="s">
        <v>337</v>
      </c>
      <c r="G10" s="5" t="s">
        <v>330</v>
      </c>
      <c r="H10" s="5" t="s">
        <v>303</v>
      </c>
      <c r="I10" s="5" t="s">
        <v>306</v>
      </c>
      <c r="J10" s="5" t="s">
        <v>338</v>
      </c>
      <c r="K10" s="5" t="s">
        <v>331</v>
      </c>
      <c r="L10" s="5" t="s">
        <v>303</v>
      </c>
      <c r="M10" s="5" t="s">
        <v>339</v>
      </c>
      <c r="N10" s="5" t="s">
        <v>306</v>
      </c>
      <c r="O10" s="5" t="s">
        <v>306</v>
      </c>
      <c r="P10" s="29" t="n">
        <v>2</v>
      </c>
      <c r="Q10" s="29" t="n">
        <v>3</v>
      </c>
      <c r="R10" s="29" t="n">
        <v>3</v>
      </c>
      <c r="S10" s="29" t="n">
        <v>3</v>
      </c>
      <c r="T10" s="29" t="n">
        <v>2</v>
      </c>
    </row>
    <row r="11" customFormat="false" ht="15" hidden="false" customHeight="false" outlineLevel="0" collapsed="false">
      <c r="A11" s="5" t="s">
        <v>340</v>
      </c>
      <c r="B11" s="5" t="s">
        <v>341</v>
      </c>
      <c r="C11" s="5" t="str">
        <f aca="false">A11&amp;" "&amp;B11</f>
        <v>P07 Orchestrated agentic workflow</v>
      </c>
      <c r="D11" s="5" t="s">
        <v>299</v>
      </c>
      <c r="E11" s="5" t="s">
        <v>342</v>
      </c>
      <c r="F11" s="5" t="s">
        <v>343</v>
      </c>
      <c r="G11" s="5" t="s">
        <v>344</v>
      </c>
      <c r="H11" s="5" t="s">
        <v>306</v>
      </c>
      <c r="I11" s="5" t="s">
        <v>303</v>
      </c>
      <c r="J11" s="5" t="s">
        <v>304</v>
      </c>
      <c r="K11" s="5" t="s">
        <v>320</v>
      </c>
      <c r="L11" s="5" t="s">
        <v>303</v>
      </c>
      <c r="M11" s="5" t="s">
        <v>345</v>
      </c>
      <c r="N11" s="5" t="s">
        <v>202</v>
      </c>
      <c r="O11" s="5" t="s">
        <v>331</v>
      </c>
      <c r="P11" s="29" t="n">
        <v>1</v>
      </c>
      <c r="Q11" s="29" t="n">
        <v>2</v>
      </c>
      <c r="R11" s="29" t="n">
        <v>3</v>
      </c>
      <c r="S11" s="29" t="n">
        <v>4</v>
      </c>
      <c r="T11" s="29" t="n">
        <v>2</v>
      </c>
    </row>
    <row r="12" customFormat="false" ht="15" hidden="false" customHeight="false" outlineLevel="0" collapsed="false">
      <c r="A12" s="5" t="s">
        <v>346</v>
      </c>
      <c r="B12" s="5" t="s">
        <v>347</v>
      </c>
      <c r="C12" s="5" t="str">
        <f aca="false">A12&amp;" "&amp;B12</f>
        <v>P08 Tool-using agent (bounded autonomy)</v>
      </c>
      <c r="D12" s="5" t="s">
        <v>335</v>
      </c>
      <c r="E12" s="5" t="s">
        <v>328</v>
      </c>
      <c r="F12" s="5" t="s">
        <v>62</v>
      </c>
      <c r="G12" s="5" t="s">
        <v>348</v>
      </c>
      <c r="H12" s="5" t="s">
        <v>331</v>
      </c>
      <c r="I12" s="5" t="s">
        <v>202</v>
      </c>
      <c r="J12" s="5" t="s">
        <v>349</v>
      </c>
      <c r="K12" s="5" t="s">
        <v>306</v>
      </c>
      <c r="L12" s="5" t="s">
        <v>320</v>
      </c>
      <c r="M12" s="5" t="s">
        <v>52</v>
      </c>
      <c r="N12" s="5" t="s">
        <v>303</v>
      </c>
      <c r="O12" s="5" t="s">
        <v>320</v>
      </c>
      <c r="P12" s="29" t="n">
        <v>2</v>
      </c>
      <c r="Q12" s="29" t="n">
        <v>3</v>
      </c>
      <c r="R12" s="29" t="n">
        <v>2</v>
      </c>
      <c r="S12" s="29" t="n">
        <v>3</v>
      </c>
      <c r="T12" s="29" t="n">
        <v>1</v>
      </c>
    </row>
    <row r="13" customFormat="false" ht="15" hidden="false" customHeight="false" outlineLevel="0" collapsed="false">
      <c r="A13" s="5" t="s">
        <v>350</v>
      </c>
      <c r="B13" s="5" t="s">
        <v>351</v>
      </c>
      <c r="C13" s="5" t="str">
        <f aca="false">A13&amp;" "&amp;B13</f>
        <v>P09 Conversational analytics</v>
      </c>
      <c r="D13" s="5" t="s">
        <v>299</v>
      </c>
      <c r="E13" s="5" t="s">
        <v>65</v>
      </c>
      <c r="F13" s="5" t="s">
        <v>62</v>
      </c>
      <c r="G13" s="5" t="s">
        <v>352</v>
      </c>
      <c r="H13" s="5" t="s">
        <v>303</v>
      </c>
      <c r="I13" s="5" t="s">
        <v>303</v>
      </c>
      <c r="J13" s="5" t="s">
        <v>304</v>
      </c>
      <c r="K13" s="5" t="s">
        <v>353</v>
      </c>
      <c r="L13" s="5" t="s">
        <v>303</v>
      </c>
      <c r="M13" s="5" t="s">
        <v>52</v>
      </c>
      <c r="N13" s="5" t="s">
        <v>320</v>
      </c>
      <c r="O13" s="5" t="s">
        <v>202</v>
      </c>
      <c r="P13" s="29" t="n">
        <v>1</v>
      </c>
      <c r="Q13" s="29" t="n">
        <v>2</v>
      </c>
      <c r="R13" s="29" t="n">
        <v>2</v>
      </c>
      <c r="S13" s="29" t="n">
        <v>3</v>
      </c>
      <c r="T13" s="29" t="n">
        <v>1</v>
      </c>
    </row>
    <row r="14" customFormat="false" ht="23.85" hidden="false" customHeight="false" outlineLevel="0" collapsed="false">
      <c r="A14" s="5" t="s">
        <v>354</v>
      </c>
      <c r="B14" s="5" t="s">
        <v>355</v>
      </c>
      <c r="C14" s="5" t="str">
        <f aca="false">A14&amp;" "&amp;B14</f>
        <v>P10 Customised and self-hosted models</v>
      </c>
      <c r="D14" s="5" t="s">
        <v>327</v>
      </c>
      <c r="E14" s="5" t="s">
        <v>356</v>
      </c>
      <c r="F14" s="5" t="s">
        <v>329</v>
      </c>
      <c r="G14" s="5" t="s">
        <v>357</v>
      </c>
      <c r="H14" s="5" t="s">
        <v>303</v>
      </c>
      <c r="I14" s="5" t="s">
        <v>303</v>
      </c>
      <c r="J14" s="5" t="s">
        <v>358</v>
      </c>
      <c r="K14" s="5" t="s">
        <v>359</v>
      </c>
      <c r="L14" s="5" t="s">
        <v>202</v>
      </c>
      <c r="M14" s="5" t="s">
        <v>360</v>
      </c>
      <c r="N14" s="5" t="s">
        <v>361</v>
      </c>
      <c r="O14" s="5" t="s">
        <v>202</v>
      </c>
      <c r="P14" s="29" t="n">
        <v>3</v>
      </c>
      <c r="Q14" s="29" t="n">
        <v>4</v>
      </c>
      <c r="R14" s="29" t="n">
        <v>3</v>
      </c>
      <c r="S14" s="29" t="s">
        <v>362</v>
      </c>
      <c r="T14" s="29" t="s">
        <v>362</v>
      </c>
    </row>
    <row r="15" customFormat="false" ht="15" hidden="false" customHeight="false" outlineLevel="0" collapsed="false">
      <c r="A15" s="5" t="s">
        <v>363</v>
      </c>
      <c r="B15" s="5" t="s">
        <v>364</v>
      </c>
      <c r="C15" s="5" t="str">
        <f aca="false">A15&amp;" "&amp;B15</f>
        <v>P11 Predictive ML with a generative interface</v>
      </c>
      <c r="D15" s="5" t="s">
        <v>335</v>
      </c>
      <c r="E15" s="5" t="s">
        <v>336</v>
      </c>
      <c r="F15" s="5" t="s">
        <v>365</v>
      </c>
      <c r="G15" s="5" t="s">
        <v>366</v>
      </c>
      <c r="H15" s="5" t="s">
        <v>303</v>
      </c>
      <c r="I15" s="5" t="s">
        <v>303</v>
      </c>
      <c r="J15" s="5" t="s">
        <v>332</v>
      </c>
      <c r="K15" s="5" t="s">
        <v>320</v>
      </c>
      <c r="L15" s="5" t="s">
        <v>303</v>
      </c>
      <c r="M15" s="5" t="s">
        <v>345</v>
      </c>
      <c r="N15" s="5" t="s">
        <v>202</v>
      </c>
      <c r="O15" s="5" t="s">
        <v>306</v>
      </c>
      <c r="P15" s="29" t="n">
        <v>2</v>
      </c>
      <c r="Q15" s="29" t="n">
        <v>3</v>
      </c>
      <c r="R15" s="29" t="n">
        <v>3</v>
      </c>
      <c r="S15" s="29" t="n">
        <v>4</v>
      </c>
      <c r="T15" s="29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2026-09-24T01:01:38Z</dcterms:created>
  <dc:creator>openpyxl</dc:creator>
  <dc:description/>
  <dc:language>en-US</dc:language>
  <cp:lastModifiedBy/>
  <dcterms:modified xsi:type="dcterms:W3CDTF">2026-09-24T01:01:39Z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